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SE\5820x\HWs\"/>
    </mc:Choice>
  </mc:AlternateContent>
  <xr:revisionPtr revIDLastSave="0" documentId="13_ncr:1_{12F17FC2-E9AB-42B5-8CC3-58C379364E4C}" xr6:coauthVersionLast="47" xr6:coauthVersionMax="47" xr10:uidLastSave="{00000000-0000-0000-0000-000000000000}"/>
  <bookViews>
    <workbookView xWindow="-120" yWindow="-120" windowWidth="20730" windowHeight="11160" tabRatio="733" xr2:uid="{00000000-000D-0000-FFFF-FFFF00000000}"/>
  </bookViews>
  <sheets>
    <sheet name="SIB DATA" sheetId="1" r:id="rId1"/>
    <sheet name="Rate Tests" sheetId="3" r:id="rId2"/>
    <sheet name="Raman Deconv and XRD " sheetId="5" r:id="rId3"/>
    <sheet name="Graphs" sheetId="6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1" l="1"/>
  <c r="B42" i="1"/>
  <c r="B43" i="1"/>
  <c r="B44" i="1"/>
  <c r="Q5" i="5"/>
  <c r="Q6" i="5"/>
  <c r="Q7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9" i="5"/>
  <c r="Q81" i="5"/>
  <c r="Q82" i="5"/>
  <c r="Q87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25" i="5"/>
  <c r="Q126" i="5"/>
  <c r="Q127" i="5"/>
  <c r="Q128" i="5"/>
  <c r="Q130" i="5"/>
  <c r="Q131" i="5"/>
  <c r="Q132" i="5"/>
  <c r="Q133" i="5"/>
  <c r="Q4" i="5"/>
  <c r="P132" i="5"/>
  <c r="P133" i="5"/>
  <c r="O132" i="5"/>
  <c r="O133" i="5"/>
  <c r="P131" i="5"/>
  <c r="O131" i="5"/>
  <c r="P126" i="5"/>
  <c r="P127" i="5"/>
  <c r="P128" i="5"/>
  <c r="P130" i="5"/>
  <c r="O126" i="5"/>
  <c r="O127" i="5"/>
  <c r="O128" i="5"/>
  <c r="O130" i="5"/>
  <c r="P125" i="5"/>
  <c r="O125" i="5"/>
  <c r="P105" i="5"/>
  <c r="P106" i="5"/>
  <c r="P107" i="5"/>
  <c r="P108" i="5"/>
  <c r="P109" i="5"/>
  <c r="P110" i="5"/>
  <c r="O105" i="5"/>
  <c r="O106" i="5"/>
  <c r="O107" i="5"/>
  <c r="O108" i="5"/>
  <c r="O109" i="5"/>
  <c r="O110" i="5"/>
  <c r="P104" i="5"/>
  <c r="O104" i="5"/>
  <c r="P103" i="5"/>
  <c r="O103" i="5"/>
  <c r="P101" i="5"/>
  <c r="P102" i="5"/>
  <c r="O101" i="5"/>
  <c r="O102" i="5"/>
  <c r="P97" i="5"/>
  <c r="P98" i="5"/>
  <c r="P99" i="5"/>
  <c r="P100" i="5"/>
  <c r="O97" i="5"/>
  <c r="O98" i="5"/>
  <c r="O99" i="5"/>
  <c r="O100" i="5"/>
  <c r="P93" i="5"/>
  <c r="P94" i="5"/>
  <c r="P95" i="5"/>
  <c r="P96" i="5"/>
  <c r="O93" i="5"/>
  <c r="O94" i="5"/>
  <c r="O95" i="5"/>
  <c r="O96" i="5"/>
  <c r="P92" i="5"/>
  <c r="O92" i="5"/>
  <c r="P87" i="5"/>
  <c r="O87" i="5"/>
  <c r="P82" i="5"/>
  <c r="O82" i="5"/>
  <c r="P81" i="5"/>
  <c r="O81" i="5"/>
  <c r="P79" i="5"/>
  <c r="O79" i="5"/>
  <c r="P73" i="5"/>
  <c r="O73" i="5"/>
  <c r="P71" i="5"/>
  <c r="P72" i="5"/>
  <c r="O71" i="5"/>
  <c r="O72" i="5"/>
  <c r="P70" i="5"/>
  <c r="O70" i="5"/>
  <c r="P69" i="5"/>
  <c r="O69" i="5"/>
  <c r="P68" i="5"/>
  <c r="O68" i="5"/>
  <c r="P67" i="5"/>
  <c r="O67" i="5"/>
  <c r="P66" i="5"/>
  <c r="O66" i="5"/>
  <c r="P65" i="5"/>
  <c r="O65" i="5"/>
  <c r="P64" i="5"/>
  <c r="O64" i="5"/>
  <c r="P63" i="5"/>
  <c r="O63" i="5"/>
  <c r="O60" i="5"/>
  <c r="O61" i="5"/>
  <c r="O62" i="5"/>
  <c r="P60" i="5"/>
  <c r="P61" i="5"/>
  <c r="P62" i="5"/>
  <c r="P59" i="5"/>
  <c r="O59" i="5"/>
  <c r="P56" i="5"/>
  <c r="P57" i="5"/>
  <c r="P58" i="5"/>
  <c r="O56" i="5"/>
  <c r="O57" i="5"/>
  <c r="O58" i="5"/>
  <c r="P55" i="5"/>
  <c r="O55" i="5"/>
  <c r="P52" i="5"/>
  <c r="P53" i="5"/>
  <c r="P54" i="5"/>
  <c r="O52" i="5"/>
  <c r="O53" i="5"/>
  <c r="O54" i="5"/>
  <c r="O48" i="5"/>
  <c r="O49" i="5"/>
  <c r="O50" i="5"/>
  <c r="O51" i="5"/>
  <c r="P47" i="5"/>
  <c r="P48" i="5"/>
  <c r="P49" i="5"/>
  <c r="P50" i="5"/>
  <c r="P51" i="5"/>
  <c r="O47" i="5"/>
  <c r="P46" i="5"/>
  <c r="O46" i="5"/>
  <c r="P44" i="5"/>
  <c r="P45" i="5"/>
  <c r="O44" i="5"/>
  <c r="O45" i="5"/>
  <c r="O43" i="5"/>
  <c r="P42" i="5"/>
  <c r="P43" i="5"/>
  <c r="O42" i="5"/>
  <c r="P41" i="5"/>
  <c r="O41" i="5"/>
  <c r="P40" i="5"/>
  <c r="O40" i="5"/>
  <c r="P37" i="5"/>
  <c r="P38" i="5"/>
  <c r="P39" i="5"/>
  <c r="O37" i="5"/>
  <c r="O38" i="5"/>
  <c r="O39" i="5"/>
  <c r="P36" i="5"/>
  <c r="O36" i="5"/>
  <c r="P35" i="5"/>
  <c r="O35" i="5"/>
  <c r="P34" i="5"/>
  <c r="O34" i="5"/>
  <c r="P33" i="5"/>
  <c r="O33" i="5"/>
  <c r="P32" i="5"/>
  <c r="O32" i="5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O24" i="5"/>
  <c r="P23" i="5"/>
  <c r="O23" i="5"/>
  <c r="P22" i="5"/>
  <c r="O22" i="5"/>
  <c r="P21" i="5"/>
  <c r="O21" i="5"/>
  <c r="P20" i="5"/>
  <c r="O20" i="5"/>
  <c r="P19" i="5"/>
  <c r="O19" i="5"/>
  <c r="P17" i="5"/>
  <c r="P18" i="5"/>
  <c r="O17" i="5"/>
  <c r="O18" i="5"/>
  <c r="P13" i="5"/>
  <c r="P14" i="5"/>
  <c r="P15" i="5"/>
  <c r="P16" i="5"/>
  <c r="O13" i="5"/>
  <c r="O14" i="5"/>
  <c r="O15" i="5"/>
  <c r="O16" i="5"/>
  <c r="P12" i="5" l="1"/>
  <c r="O12" i="5"/>
  <c r="P7" i="5"/>
  <c r="O7" i="5"/>
  <c r="P6" i="5"/>
  <c r="O6" i="5"/>
  <c r="P5" i="5"/>
  <c r="O5" i="5"/>
  <c r="P4" i="5"/>
  <c r="O4" i="5"/>
  <c r="C38" i="3"/>
  <c r="D38" i="3"/>
  <c r="E38" i="3"/>
  <c r="F38" i="3"/>
  <c r="G38" i="3"/>
  <c r="H38" i="3"/>
  <c r="I38" i="3"/>
  <c r="J38" i="3"/>
  <c r="K38" i="3"/>
  <c r="L38" i="3"/>
  <c r="M38" i="3"/>
  <c r="N38" i="3"/>
  <c r="B38" i="3"/>
</calcChain>
</file>

<file path=xl/sharedStrings.xml><?xml version="1.0" encoding="utf-8"?>
<sst xmlns="http://schemas.openxmlformats.org/spreadsheetml/2006/main" count="291" uniqueCount="183">
  <si>
    <t>Sample Name</t>
  </si>
  <si>
    <t>Interlayer Spacing (Å)</t>
  </si>
  <si>
    <t>ICE (%)</t>
  </si>
  <si>
    <t>Reversible Capacity (mAh/g)</t>
  </si>
  <si>
    <t>Source</t>
  </si>
  <si>
    <t>M9005</t>
  </si>
  <si>
    <t>Ultrafast synthesis of hard carbon anodes for sodium-ion batteries | PNAS</t>
  </si>
  <si>
    <t>M11005</t>
  </si>
  <si>
    <t>M13005</t>
  </si>
  <si>
    <t>TF1100</t>
  </si>
  <si>
    <t>C</t>
  </si>
  <si>
    <t>Ogunsakin et al 2023.pdf | Powered by Box</t>
  </si>
  <si>
    <t>m.C</t>
  </si>
  <si>
    <t>DC</t>
  </si>
  <si>
    <t>m.DC</t>
  </si>
  <si>
    <t>D-Glucose HC</t>
  </si>
  <si>
    <t>T-SBC-1300</t>
  </si>
  <si>
    <t>SBC-1300</t>
  </si>
  <si>
    <t>T-BC-1300</t>
  </si>
  <si>
    <t>BC-1300</t>
  </si>
  <si>
    <t>PGY-800</t>
  </si>
  <si>
    <t>PGY-1000</t>
  </si>
  <si>
    <t>PGY-1200</t>
  </si>
  <si>
    <t>PGY-1400</t>
  </si>
  <si>
    <t>seeds800</t>
  </si>
  <si>
    <t>seeds1000</t>
  </si>
  <si>
    <t>seeds1200</t>
  </si>
  <si>
    <t>seeds1300</t>
  </si>
  <si>
    <t>seeds1400</t>
  </si>
  <si>
    <t>pulp800</t>
  </si>
  <si>
    <t>pulp1000</t>
  </si>
  <si>
    <t>pulp1200</t>
  </si>
  <si>
    <t>pulp1300</t>
  </si>
  <si>
    <t>pulp1400</t>
  </si>
  <si>
    <t>HC-W</t>
  </si>
  <si>
    <t>HC-C</t>
  </si>
  <si>
    <t>HC-S</t>
  </si>
  <si>
    <t>LS1000</t>
  </si>
  <si>
    <t>LS1200</t>
  </si>
  <si>
    <t>LS1400</t>
  </si>
  <si>
    <t>HC-P</t>
  </si>
  <si>
    <t>RFC</t>
  </si>
  <si>
    <t>CC</t>
  </si>
  <si>
    <t>WSC-1000</t>
  </si>
  <si>
    <t>Regulating microstructure of walnut shell-derived hard carbon for high rate and long cycling sodium-based dual-ion batteries - ScienceDirect</t>
  </si>
  <si>
    <t>WSC-1200</t>
  </si>
  <si>
    <t>WSC-1400</t>
  </si>
  <si>
    <t>WSC-1600</t>
  </si>
  <si>
    <t>BPPG-800</t>
  </si>
  <si>
    <t>BPPG-1400</t>
  </si>
  <si>
    <t>BPPG-800-A</t>
  </si>
  <si>
    <t>BPPG-1100-A</t>
  </si>
  <si>
    <t>BPPG-1400-A</t>
  </si>
  <si>
    <t>RHHC-1100</t>
  </si>
  <si>
    <t>RHHC-1300</t>
  </si>
  <si>
    <t>RHHC-1500</t>
  </si>
  <si>
    <t>RS-900</t>
  </si>
  <si>
    <t>RS-1100</t>
  </si>
  <si>
    <t>RS-1300</t>
  </si>
  <si>
    <t>RS-1500</t>
  </si>
  <si>
    <t>PSDHCs-0</t>
  </si>
  <si>
    <t>PSDHCs-2</t>
  </si>
  <si>
    <t>PSDHCs-4</t>
  </si>
  <si>
    <t>PSDHCs-6</t>
  </si>
  <si>
    <t>CP</t>
  </si>
  <si>
    <t>BMC-900</t>
  </si>
  <si>
    <t>A sustainable synthesis of biomass carbon sheets as excellent performance sodium ion batteries anode | Journal of Solid State Electrochemistry (springer.com)</t>
  </si>
  <si>
    <t>BMCS-1200</t>
  </si>
  <si>
    <t>LHA-900</t>
  </si>
  <si>
    <t>High-yield humic acid-based hard carbons as promising anode materials for sodium-ion batteries - ScienceDirect</t>
  </si>
  <si>
    <t>LHA-1100</t>
  </si>
  <si>
    <t>LHA-1300</t>
  </si>
  <si>
    <t>LHA-1500</t>
  </si>
  <si>
    <t>LHA-1600</t>
  </si>
  <si>
    <t>HCC1000</t>
  </si>
  <si>
    <t>HCC1300</t>
  </si>
  <si>
    <t>HCC1600</t>
  </si>
  <si>
    <t>KHC-900</t>
  </si>
  <si>
    <t>KHC-1100</t>
  </si>
  <si>
    <t>KHC-1300</t>
  </si>
  <si>
    <t>KHC-1500</t>
  </si>
  <si>
    <t>KHC-1600</t>
  </si>
  <si>
    <t>Argan-800</t>
  </si>
  <si>
    <t>Argan-1000</t>
  </si>
  <si>
    <t>Argan-1200</t>
  </si>
  <si>
    <t>Argan-1300</t>
  </si>
  <si>
    <t>Argan-800W</t>
  </si>
  <si>
    <t>Argan-1000W</t>
  </si>
  <si>
    <t>Argan-1200W</t>
  </si>
  <si>
    <t>Argan-1300W</t>
  </si>
  <si>
    <t>*Apple HC*  no name given</t>
  </si>
  <si>
    <t>Apple‐Biowaste‐Derived Hard Carbon as a Powerful Anode Material for Na‐Ion Batteries - Wu - 2016 - ChemElectroChem - Wiley Online Library</t>
  </si>
  <si>
    <t>UC-1100</t>
  </si>
  <si>
    <t>Waste-to-wealth: low-cost hard carbon anode derived from unburned charcoal with high capacity and long cycle life for sodium-ion/lithium-ion batteries - ScienceDirect</t>
  </si>
  <si>
    <t>UC-1200</t>
  </si>
  <si>
    <t>UC-1300</t>
  </si>
  <si>
    <t>UC-1400</t>
  </si>
  <si>
    <t>HCCS800</t>
  </si>
  <si>
    <t>Heteroatom-doped hierarchically porous carbons derived from cucumber stem as high-performance anodes for sodium-ion batteries | Journal of Materials Science (springer.com)</t>
  </si>
  <si>
    <t>HCCS900</t>
  </si>
  <si>
    <t>HCCS1000</t>
  </si>
  <si>
    <t>HCCS1100</t>
  </si>
  <si>
    <t>HCCS1000A</t>
  </si>
  <si>
    <t>HCF-1000</t>
  </si>
  <si>
    <t>HCF-1200</t>
  </si>
  <si>
    <t>HCF-1400</t>
  </si>
  <si>
    <t>HCF-1600</t>
  </si>
  <si>
    <t>HC-900</t>
  </si>
  <si>
    <t>HC-1100</t>
  </si>
  <si>
    <t>HC700</t>
  </si>
  <si>
    <t>HC900</t>
  </si>
  <si>
    <t>HC1100</t>
  </si>
  <si>
    <t>HC1300</t>
  </si>
  <si>
    <t>HC1500</t>
  </si>
  <si>
    <t>HC1600</t>
  </si>
  <si>
    <t>HC1800</t>
  </si>
  <si>
    <t>HC2000</t>
  </si>
  <si>
    <t>CHCL-HC-1300</t>
  </si>
  <si>
    <t>CL-HC-1300</t>
  </si>
  <si>
    <t>CHC-HC-1300</t>
  </si>
  <si>
    <t>C-CH-1300</t>
  </si>
  <si>
    <t>HC-HC-1300</t>
  </si>
  <si>
    <t>B-HC-23.0</t>
  </si>
  <si>
    <t>B-HC-16.5</t>
  </si>
  <si>
    <t>B-HC-5.5</t>
  </si>
  <si>
    <t>B-HC-1.5</t>
  </si>
  <si>
    <t>CHCL-HC-1600</t>
  </si>
  <si>
    <t>CL-HC-1600</t>
  </si>
  <si>
    <t>CHC-HC-1600</t>
  </si>
  <si>
    <t>C-CH-1600</t>
  </si>
  <si>
    <t>HC-HC-1600</t>
  </si>
  <si>
    <t>Capacities at Various Currents</t>
  </si>
  <si>
    <t>Sample</t>
  </si>
  <si>
    <t>ID/IG</t>
  </si>
  <si>
    <t>Specific surface Area (m^2/g)</t>
  </si>
  <si>
    <t>https://www.sciencedirect.com/science/article/pii/S0378775317306328#appsec1</t>
  </si>
  <si>
    <t>WSC–1200</t>
  </si>
  <si>
    <t>https://pubs.rsc.org/en/content/articlelanding/2018/ta/c7ta07951f</t>
  </si>
  <si>
    <t>Applemass HC</t>
  </si>
  <si>
    <t>(Capacity / Capacity at 100 mA)</t>
  </si>
  <si>
    <t>20 mA/g</t>
  </si>
  <si>
    <t>25 mA/g</t>
  </si>
  <si>
    <t>30 mA/g</t>
  </si>
  <si>
    <t>40 mA/g</t>
  </si>
  <si>
    <t>50 mA/g</t>
  </si>
  <si>
    <t>100 mA/g</t>
  </si>
  <si>
    <t>200 mA/g</t>
  </si>
  <si>
    <t>300 mA/g</t>
  </si>
  <si>
    <t>400 mA/g</t>
  </si>
  <si>
    <t>500 mA/g</t>
  </si>
  <si>
    <t>1000 mA/g</t>
  </si>
  <si>
    <t>2000 mA/g</t>
  </si>
  <si>
    <t>5000 mA/g</t>
  </si>
  <si>
    <t>SP-800</t>
  </si>
  <si>
    <t>SP-1000</t>
  </si>
  <si>
    <t>SP-1200</t>
  </si>
  <si>
    <t>SP-1400</t>
  </si>
  <si>
    <t>BPPG-1100</t>
  </si>
  <si>
    <t>log(current density)</t>
  </si>
  <si>
    <t>HDC</t>
  </si>
  <si>
    <t>*Charcoal HC*</t>
  </si>
  <si>
    <t>Area</t>
  </si>
  <si>
    <t>G</t>
  </si>
  <si>
    <t>A</t>
  </si>
  <si>
    <t>TPA</t>
  </si>
  <si>
    <r>
      <t>Center [cm</t>
    </r>
    <r>
      <rPr>
        <b/>
        <vertAlign val="superscript"/>
        <sz val="10"/>
        <color rgb="FF000000"/>
        <rFont val="Arial"/>
        <family val="2"/>
        <scheme val="minor"/>
      </rPr>
      <t>-1</t>
    </r>
    <r>
      <rPr>
        <b/>
        <sz val="10"/>
        <color rgb="FF000000"/>
        <rFont val="Arial"/>
        <family val="2"/>
        <scheme val="minor"/>
      </rPr>
      <t>]</t>
    </r>
  </si>
  <si>
    <r>
      <t>R</t>
    </r>
    <r>
      <rPr>
        <b/>
        <vertAlign val="superscript"/>
        <sz val="12"/>
        <color rgb="FF000000"/>
        <rFont val="Arial"/>
        <family val="2"/>
        <scheme val="minor"/>
      </rPr>
      <t>2</t>
    </r>
  </si>
  <si>
    <t>D1</t>
  </si>
  <si>
    <r>
      <t>I</t>
    </r>
    <r>
      <rPr>
        <b/>
        <vertAlign val="subscript"/>
        <sz val="16"/>
        <color rgb="FF000000"/>
        <rFont val="Arial"/>
        <family val="2"/>
        <scheme val="minor"/>
      </rPr>
      <t>D1</t>
    </r>
    <r>
      <rPr>
        <b/>
        <sz val="16"/>
        <color rgb="FF000000"/>
        <rFont val="Arial"/>
        <family val="2"/>
        <scheme val="minor"/>
      </rPr>
      <t>/I</t>
    </r>
    <r>
      <rPr>
        <b/>
        <vertAlign val="subscript"/>
        <sz val="16"/>
        <color rgb="FF000000"/>
        <rFont val="Arial"/>
        <family val="2"/>
        <scheme val="minor"/>
      </rPr>
      <t>G</t>
    </r>
  </si>
  <si>
    <t>Amplitude</t>
  </si>
  <si>
    <r>
      <t>A</t>
    </r>
    <r>
      <rPr>
        <b/>
        <vertAlign val="subscript"/>
        <sz val="16"/>
        <color rgb="FF000000"/>
        <rFont val="Arial"/>
        <family val="2"/>
        <scheme val="minor"/>
      </rPr>
      <t>D1</t>
    </r>
    <r>
      <rPr>
        <b/>
        <sz val="16"/>
        <color rgb="FF000000"/>
        <rFont val="Arial"/>
        <family val="2"/>
        <scheme val="minor"/>
      </rPr>
      <t>/A</t>
    </r>
    <r>
      <rPr>
        <b/>
        <vertAlign val="subscript"/>
        <sz val="16"/>
        <color rgb="FF000000"/>
        <rFont val="Arial"/>
        <family val="2"/>
        <scheme val="minor"/>
      </rPr>
      <t>G</t>
    </r>
  </si>
  <si>
    <t>Data is too noisy</t>
  </si>
  <si>
    <t>?</t>
  </si>
  <si>
    <t>Range too small</t>
  </si>
  <si>
    <t>Graph Unusable</t>
  </si>
  <si>
    <t>Raw data not shown. Only fit peaks. They used 5 peaks.</t>
  </si>
  <si>
    <t>Balling-12h-1500</t>
  </si>
  <si>
    <t>Balling-0h-1500</t>
  </si>
  <si>
    <t>Balling-48h-1500</t>
  </si>
  <si>
    <r>
      <t>A</t>
    </r>
    <r>
      <rPr>
        <b/>
        <vertAlign val="subscript"/>
        <sz val="16"/>
        <color rgb="FF000000"/>
        <rFont val="Arial"/>
        <family val="2"/>
        <scheme val="minor"/>
      </rPr>
      <t>A</t>
    </r>
    <r>
      <rPr>
        <b/>
        <sz val="16"/>
        <color rgb="FF000000"/>
        <rFont val="Arial"/>
        <family val="2"/>
        <scheme val="minor"/>
      </rPr>
      <t>/A</t>
    </r>
    <r>
      <rPr>
        <b/>
        <vertAlign val="subscript"/>
        <sz val="16"/>
        <color rgb="FF000000"/>
        <rFont val="Arial"/>
        <family val="2"/>
        <scheme val="minor"/>
      </rPr>
      <t>G</t>
    </r>
  </si>
  <si>
    <t>Id/Ig</t>
  </si>
  <si>
    <t>Carbonization Temp (C)</t>
  </si>
  <si>
    <t>Specific surface Area (m2/g)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</si>
</sst>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0"/>
      <color rgb="FF000000"/>
      <name val="Arial"/>
      <scheme val="minor"/>
    </font>
    <font>
      <b/>
      <u/>
      <sz val="12"/>
      <color theme="1"/>
      <name val="Arial"/>
      <family val="2"/>
      <scheme val="minor"/>
    </font>
    <font>
      <sz val="10"/>
      <name val="Arial"/>
      <family val="2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vertAlign val="superscript"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vertAlign val="superscript"/>
      <sz val="12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vertAlign val="subscript"/>
      <sz val="16"/>
      <color rgb="FF000000"/>
      <name val="Arial"/>
      <family val="2"/>
      <scheme val="minor"/>
    </font>
    <font>
      <sz val="1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2">
    <xf numFmtId="0" fontId="0" fillId="0" borderId="0" xfId="0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2" fontId="0" fillId="0" borderId="0" xfId="0" applyNumberFormat="1"/>
    <xf numFmtId="164" fontId="4" fillId="0" borderId="0" xfId="0" applyNumberFormat="1" applyFont="1" applyAlignment="1">
      <alignment horizontal="right"/>
    </xf>
    <xf numFmtId="2" fontId="4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right"/>
    </xf>
    <xf numFmtId="0" fontId="5" fillId="0" borderId="16" xfId="0" applyFont="1" applyBorder="1" applyAlignment="1">
      <alignment wrapText="1"/>
    </xf>
    <xf numFmtId="0" fontId="5" fillId="0" borderId="16" xfId="0" applyFont="1" applyBorder="1" applyAlignment="1">
      <alignment horizontal="right" wrapText="1"/>
    </xf>
    <xf numFmtId="0" fontId="6" fillId="0" borderId="16" xfId="1" applyBorder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1" applyBorder="1" applyAlignment="1">
      <alignment vertical="center"/>
    </xf>
    <xf numFmtId="0" fontId="8" fillId="7" borderId="20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wrapText="1"/>
    </xf>
    <xf numFmtId="0" fontId="5" fillId="0" borderId="24" xfId="0" applyFont="1" applyBorder="1" applyAlignment="1">
      <alignment horizontal="right" wrapText="1"/>
    </xf>
    <xf numFmtId="0" fontId="6" fillId="0" borderId="24" xfId="1" applyBorder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8" fillId="7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165" fontId="5" fillId="8" borderId="21" xfId="0" applyNumberFormat="1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/>
    </xf>
    <xf numFmtId="0" fontId="9" fillId="11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0" borderId="0" xfId="0" applyFont="1"/>
    <xf numFmtId="1" fontId="16" fillId="0" borderId="0" xfId="0" applyNumberFormat="1" applyFont="1"/>
    <xf numFmtId="2" fontId="16" fillId="0" borderId="0" xfId="0" applyNumberFormat="1" applyFont="1"/>
    <xf numFmtId="164" fontId="16" fillId="0" borderId="0" xfId="0" applyNumberFormat="1" applyFont="1"/>
    <xf numFmtId="165" fontId="16" fillId="0" borderId="0" xfId="0" applyNumberFormat="1" applyFont="1"/>
    <xf numFmtId="0" fontId="16" fillId="3" borderId="10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6" fillId="4" borderId="14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6" fillId="4" borderId="2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8" fillId="6" borderId="17" xfId="0" applyFont="1" applyFill="1" applyBorder="1" applyAlignment="1">
      <alignment horizontal="center" wrapText="1"/>
    </xf>
    <xf numFmtId="0" fontId="8" fillId="6" borderId="18" xfId="0" applyFont="1" applyFill="1" applyBorder="1" applyAlignment="1">
      <alignment horizontal="center" wrapText="1"/>
    </xf>
    <xf numFmtId="0" fontId="8" fillId="6" borderId="19" xfId="0" applyFont="1" applyFill="1" applyBorder="1" applyAlignment="1">
      <alignment horizontal="center" wrapText="1"/>
    </xf>
    <xf numFmtId="0" fontId="14" fillId="0" borderId="3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2" fillId="12" borderId="28" xfId="0" applyFont="1" applyFill="1" applyBorder="1" applyAlignment="1">
      <alignment horizontal="center" vertical="center"/>
    </xf>
    <xf numFmtId="0" fontId="12" fillId="12" borderId="32" xfId="0" applyFont="1" applyFill="1" applyBorder="1" applyAlignment="1">
      <alignment horizontal="center" vertical="center"/>
    </xf>
    <xf numFmtId="0" fontId="12" fillId="12" borderId="29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/>
    </xf>
    <xf numFmtId="0" fontId="12" fillId="10" borderId="32" xfId="0" applyFont="1" applyFill="1" applyBorder="1" applyAlignment="1">
      <alignment horizontal="center" vertical="center"/>
    </xf>
    <xf numFmtId="0" fontId="12" fillId="10" borderId="29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12" fillId="11" borderId="28" xfId="0" applyFont="1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Capcity vs Current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0942623135963426"/>
                  <c:y val="-3.784943409619707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aseline="0"/>
                      <a:t>y = -40.43ln(x) + 421.72</a:t>
                    </a:r>
                    <a:br>
                      <a:rPr lang="en-US" sz="900" baseline="0"/>
                    </a:br>
                    <a:r>
                      <a:rPr lang="en-US" sz="900" baseline="0"/>
                      <a:t>R² = 0.9444</a:t>
                    </a:r>
                    <a:endParaRPr lang="en-US" sz="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Tests'!$B$3:$M$3</c:f>
              <c:numCache>
                <c:formatCode>General</c:formatCode>
                <c:ptCount val="12"/>
                <c:pt idx="2">
                  <c:v>272</c:v>
                </c:pt>
                <c:pt idx="4">
                  <c:v>250.7</c:v>
                </c:pt>
                <c:pt idx="5">
                  <c:v>235.6</c:v>
                </c:pt>
                <c:pt idx="6">
                  <c:v>220.3</c:v>
                </c:pt>
                <c:pt idx="9">
                  <c:v>190</c:v>
                </c:pt>
                <c:pt idx="10">
                  <c:v>161.30000000000001</c:v>
                </c:pt>
                <c:pt idx="11">
                  <c:v>119.3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5-4962-9B08-4C2455F95B3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2662031703868344E-2"/>
                  <c:y val="3.888922482352476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aseline="0"/>
                      <a:t>y = -26.37ln(x) + 403.36</a:t>
                    </a:r>
                    <a:br>
                      <a:rPr lang="en-US" sz="900" baseline="0"/>
                    </a:br>
                    <a:r>
                      <a:rPr lang="en-US" sz="900" baseline="0"/>
                      <a:t>R² = 0.8267</a:t>
                    </a:r>
                    <a:endParaRPr lang="en-US" sz="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Tests'!$B$4:$M$4</c:f>
              <c:numCache>
                <c:formatCode>General</c:formatCode>
                <c:ptCount val="12"/>
                <c:pt idx="2">
                  <c:v>299.39999999999998</c:v>
                </c:pt>
                <c:pt idx="4">
                  <c:v>288.5</c:v>
                </c:pt>
                <c:pt idx="5">
                  <c:v>282.5</c:v>
                </c:pt>
                <c:pt idx="6">
                  <c:v>272.5</c:v>
                </c:pt>
                <c:pt idx="9">
                  <c:v>259.5</c:v>
                </c:pt>
                <c:pt idx="10">
                  <c:v>242.4</c:v>
                </c:pt>
                <c:pt idx="11">
                  <c:v>220.5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5-4962-9B08-4C2455F95B3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0207118688477194"/>
                  <c:y val="3.7317313632957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Tests'!$B$6:$M$6</c:f>
              <c:numCache>
                <c:formatCode>General</c:formatCode>
                <c:ptCount val="12"/>
                <c:pt idx="4">
                  <c:v>254.33</c:v>
                </c:pt>
                <c:pt idx="5">
                  <c:v>229.16</c:v>
                </c:pt>
                <c:pt idx="6">
                  <c:v>201.91</c:v>
                </c:pt>
                <c:pt idx="9">
                  <c:v>141.69</c:v>
                </c:pt>
                <c:pt idx="10">
                  <c:v>101.84</c:v>
                </c:pt>
                <c:pt idx="11">
                  <c:v>81.81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0C-40D0-9F43-72555414152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6734371751177488"/>
                  <c:y val="-7.66102986084204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Tests'!$B$2:$M$2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</c:numCache>
            </c:numRef>
          </c:xVal>
          <c:yVal>
            <c:numRef>
              <c:f>'Rate Tests'!$B$8:$M$8</c:f>
              <c:numCache>
                <c:formatCode>General</c:formatCode>
                <c:ptCount val="12"/>
                <c:pt idx="5">
                  <c:v>346.8</c:v>
                </c:pt>
                <c:pt idx="6">
                  <c:v>325.89999999999998</c:v>
                </c:pt>
                <c:pt idx="9">
                  <c:v>313.5</c:v>
                </c:pt>
                <c:pt idx="10">
                  <c:v>299.39999999999998</c:v>
                </c:pt>
                <c:pt idx="11">
                  <c:v>271.60000000000002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0C-40D0-9F43-72555414152C}"/>
            </c:ext>
          </c:extLst>
        </c:ser>
        <c:ser>
          <c:idx val="4"/>
          <c:order val="4"/>
          <c:tx>
            <c:v>Applemass HC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7033271443479202"/>
                  <c:y val="-8.961392346824760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Tests'!$B$2:$N$2</c:f>
              <c:numCache>
                <c:formatCode>General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2000</c:v>
                </c:pt>
                <c:pt idx="12">
                  <c:v>5000</c:v>
                </c:pt>
              </c:numCache>
            </c:numRef>
          </c:xVal>
          <c:yVal>
            <c:numRef>
              <c:f>'Rate Tests'!$B$13:$N$13</c:f>
              <c:numCache>
                <c:formatCode>General</c:formatCode>
                <c:ptCount val="13"/>
                <c:pt idx="0">
                  <c:v>235</c:v>
                </c:pt>
                <c:pt idx="3">
                  <c:v>222</c:v>
                </c:pt>
                <c:pt idx="5">
                  <c:v>202</c:v>
                </c:pt>
                <c:pt idx="6">
                  <c:v>181</c:v>
                </c:pt>
                <c:pt idx="8">
                  <c:v>155</c:v>
                </c:pt>
                <c:pt idx="10">
                  <c:v>112</c:v>
                </c:pt>
                <c:pt idx="11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0C-40D0-9F43-725554141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936368"/>
        <c:axId val="892940208"/>
      </c:scatterChart>
      <c:valAx>
        <c:axId val="8929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40208"/>
        <c:crosses val="autoZero"/>
        <c:crossBetween val="midCat"/>
      </c:valAx>
      <c:valAx>
        <c:axId val="8929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3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  <a:r>
              <a:rPr lang="en-US" baseline="0"/>
              <a:t> vs log(Current Density)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991447944007"/>
                  <c:y val="-0.478508579491147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Tests'!$B$38:$N$38</c:f>
              <c:numCache>
                <c:formatCode>0.000</c:formatCode>
                <c:ptCount val="13"/>
                <c:pt idx="0">
                  <c:v>1.3010299956639813</c:v>
                </c:pt>
                <c:pt idx="1">
                  <c:v>1.3979400086720377</c:v>
                </c:pt>
                <c:pt idx="2">
                  <c:v>1.4771212547196624</c:v>
                </c:pt>
                <c:pt idx="3">
                  <c:v>1.6020599913279623</c:v>
                </c:pt>
                <c:pt idx="4">
                  <c:v>1.6989700043360187</c:v>
                </c:pt>
                <c:pt idx="5">
                  <c:v>2</c:v>
                </c:pt>
                <c:pt idx="6">
                  <c:v>2.3010299956639813</c:v>
                </c:pt>
                <c:pt idx="7">
                  <c:v>2.4771212547196626</c:v>
                </c:pt>
                <c:pt idx="8">
                  <c:v>2.6020599913279625</c:v>
                </c:pt>
                <c:pt idx="9">
                  <c:v>2.6989700043360187</c:v>
                </c:pt>
                <c:pt idx="10">
                  <c:v>3</c:v>
                </c:pt>
                <c:pt idx="11">
                  <c:v>3.3010299956639813</c:v>
                </c:pt>
                <c:pt idx="12">
                  <c:v>3.6989700043360187</c:v>
                </c:pt>
              </c:numCache>
            </c:numRef>
          </c:xVal>
          <c:yVal>
            <c:numRef>
              <c:f>'Rate Tests'!$B$39:$N$39</c:f>
              <c:numCache>
                <c:formatCode>General</c:formatCode>
                <c:ptCount val="13"/>
                <c:pt idx="2">
                  <c:v>272</c:v>
                </c:pt>
                <c:pt idx="4">
                  <c:v>250.7</c:v>
                </c:pt>
                <c:pt idx="5">
                  <c:v>235.6</c:v>
                </c:pt>
                <c:pt idx="6">
                  <c:v>220.3</c:v>
                </c:pt>
                <c:pt idx="9">
                  <c:v>190</c:v>
                </c:pt>
                <c:pt idx="10">
                  <c:v>161.30000000000001</c:v>
                </c:pt>
                <c:pt idx="11">
                  <c:v>119.3</c:v>
                </c:pt>
                <c:pt idx="12">
                  <c:v>46.1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9-41E5-BCD0-F91036421CD1}"/>
            </c:ext>
          </c:extLst>
        </c:ser>
        <c:ser>
          <c:idx val="1"/>
          <c:order val="1"/>
          <c:tx>
            <c:v>Series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641076115485558E-2"/>
                  <c:y val="-0.201431904345290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Tests'!$B$38:$N$38</c:f>
              <c:numCache>
                <c:formatCode>0.000</c:formatCode>
                <c:ptCount val="13"/>
                <c:pt idx="0">
                  <c:v>1.3010299956639813</c:v>
                </c:pt>
                <c:pt idx="1">
                  <c:v>1.3979400086720377</c:v>
                </c:pt>
                <c:pt idx="2">
                  <c:v>1.4771212547196624</c:v>
                </c:pt>
                <c:pt idx="3">
                  <c:v>1.6020599913279623</c:v>
                </c:pt>
                <c:pt idx="4">
                  <c:v>1.6989700043360187</c:v>
                </c:pt>
                <c:pt idx="5">
                  <c:v>2</c:v>
                </c:pt>
                <c:pt idx="6">
                  <c:v>2.3010299956639813</c:v>
                </c:pt>
                <c:pt idx="7">
                  <c:v>2.4771212547196626</c:v>
                </c:pt>
                <c:pt idx="8">
                  <c:v>2.6020599913279625</c:v>
                </c:pt>
                <c:pt idx="9">
                  <c:v>2.6989700043360187</c:v>
                </c:pt>
                <c:pt idx="10">
                  <c:v>3</c:v>
                </c:pt>
                <c:pt idx="11">
                  <c:v>3.3010299956639813</c:v>
                </c:pt>
                <c:pt idx="12">
                  <c:v>3.6989700043360187</c:v>
                </c:pt>
              </c:numCache>
            </c:numRef>
          </c:xVal>
          <c:yVal>
            <c:numRef>
              <c:f>'Rate Tests'!$B$40:$N$40</c:f>
              <c:numCache>
                <c:formatCode>General</c:formatCode>
                <c:ptCount val="13"/>
                <c:pt idx="2">
                  <c:v>299.39999999999998</c:v>
                </c:pt>
                <c:pt idx="4">
                  <c:v>288.5</c:v>
                </c:pt>
                <c:pt idx="5">
                  <c:v>282.5</c:v>
                </c:pt>
                <c:pt idx="6">
                  <c:v>272.5</c:v>
                </c:pt>
                <c:pt idx="9">
                  <c:v>259.5</c:v>
                </c:pt>
                <c:pt idx="10">
                  <c:v>242.4</c:v>
                </c:pt>
                <c:pt idx="11">
                  <c:v>220.5</c:v>
                </c:pt>
                <c:pt idx="12">
                  <c:v>136.6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49-41E5-BCD0-F91036421CD1}"/>
            </c:ext>
          </c:extLst>
        </c:ser>
        <c:ser>
          <c:idx val="2"/>
          <c:order val="2"/>
          <c:tx>
            <c:v>Series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826159230096239"/>
                  <c:y val="-0.295829229438805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'Rate Tests'!$B$38:$N$38</c:f>
              <c:numCache>
                <c:formatCode>0.000</c:formatCode>
                <c:ptCount val="13"/>
                <c:pt idx="0">
                  <c:v>1.3010299956639813</c:v>
                </c:pt>
                <c:pt idx="1">
                  <c:v>1.3979400086720377</c:v>
                </c:pt>
                <c:pt idx="2">
                  <c:v>1.4771212547196624</c:v>
                </c:pt>
                <c:pt idx="3">
                  <c:v>1.6020599913279623</c:v>
                </c:pt>
                <c:pt idx="4">
                  <c:v>1.6989700043360187</c:v>
                </c:pt>
                <c:pt idx="5">
                  <c:v>2</c:v>
                </c:pt>
                <c:pt idx="6">
                  <c:v>2.3010299956639813</c:v>
                </c:pt>
                <c:pt idx="7">
                  <c:v>2.4771212547196626</c:v>
                </c:pt>
                <c:pt idx="8">
                  <c:v>2.6020599913279625</c:v>
                </c:pt>
                <c:pt idx="9">
                  <c:v>2.6989700043360187</c:v>
                </c:pt>
                <c:pt idx="10">
                  <c:v>3</c:v>
                </c:pt>
                <c:pt idx="11">
                  <c:v>3.3010299956639813</c:v>
                </c:pt>
                <c:pt idx="12">
                  <c:v>3.6989700043360187</c:v>
                </c:pt>
              </c:numCache>
            </c:numRef>
          </c:xVal>
          <c:yVal>
            <c:numRef>
              <c:f>'Rate Tests'!$B$42:$Q$42</c:f>
              <c:numCache>
                <c:formatCode>General</c:formatCode>
                <c:ptCount val="16"/>
                <c:pt idx="4">
                  <c:v>254.33</c:v>
                </c:pt>
                <c:pt idx="5">
                  <c:v>229.16</c:v>
                </c:pt>
                <c:pt idx="6">
                  <c:v>201.91</c:v>
                </c:pt>
                <c:pt idx="9">
                  <c:v>141.69</c:v>
                </c:pt>
                <c:pt idx="10">
                  <c:v>101.84</c:v>
                </c:pt>
                <c:pt idx="11">
                  <c:v>81.81</c:v>
                </c:pt>
                <c:pt idx="12">
                  <c:v>60.66</c:v>
                </c:pt>
                <c:pt idx="13">
                  <c:v>0.41</c:v>
                </c:pt>
                <c:pt idx="14">
                  <c:v>3.8129</c:v>
                </c:pt>
                <c:pt idx="15">
                  <c:v>9.0250000000000004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49-41E5-BCD0-F9103642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641936"/>
        <c:axId val="892640016"/>
      </c:scatterChart>
      <c:valAx>
        <c:axId val="89264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40016"/>
        <c:crosses val="autoZero"/>
        <c:crossBetween val="midCat"/>
      </c:valAx>
      <c:valAx>
        <c:axId val="8926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4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  <a:r>
              <a:rPr lang="en-US" baseline="0"/>
              <a:t> at 1000 mA/g vs. I</a:t>
            </a:r>
            <a:r>
              <a:rPr lang="en-US" baseline="-25000"/>
              <a:t>D</a:t>
            </a:r>
            <a:r>
              <a:rPr lang="en-US" baseline="0"/>
              <a:t>/I</a:t>
            </a:r>
            <a:r>
              <a:rPr lang="en-US" baseline="-25000"/>
              <a:t>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11154855643044"/>
          <c:y val="0.14629629629629629"/>
          <c:w val="0.86038145231846019"/>
          <c:h val="0.751944444444444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066870142860807"/>
                  <c:y val="-0.16282587997037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Graphs!$A$1:$A$130</c:f>
              <c:numCache>
                <c:formatCode>0.00</c:formatCode>
                <c:ptCount val="130"/>
                <c:pt idx="0" formatCode="General">
                  <c:v>3.42</c:v>
                </c:pt>
                <c:pt idx="1">
                  <c:v>3</c:v>
                </c:pt>
                <c:pt idx="2" formatCode="General">
                  <c:v>2.5299999999999998</c:v>
                </c:pt>
                <c:pt idx="3" formatCode="General">
                  <c:v>3.25</c:v>
                </c:pt>
                <c:pt idx="4" formatCode="General">
                  <c:v>1.06</c:v>
                </c:pt>
                <c:pt idx="5" formatCode="General">
                  <c:v>1.06</c:v>
                </c:pt>
                <c:pt idx="6" formatCode="General">
                  <c:v>1.06</c:v>
                </c:pt>
                <c:pt idx="7" formatCode="General">
                  <c:v>1.17</c:v>
                </c:pt>
                <c:pt idx="8" formatCode="General">
                  <c:v>1.05</c:v>
                </c:pt>
                <c:pt idx="9" formatCode="General">
                  <c:v>1.8129999999999999</c:v>
                </c:pt>
                <c:pt idx="10" formatCode="General">
                  <c:v>1.5329999999999999</c:v>
                </c:pt>
                <c:pt idx="11" formatCode="General">
                  <c:v>1.601</c:v>
                </c:pt>
                <c:pt idx="12" formatCode="General">
                  <c:v>1.5409999999999999</c:v>
                </c:pt>
                <c:pt idx="13" formatCode="General">
                  <c:v>0.34</c:v>
                </c:pt>
                <c:pt idx="14" formatCode="General">
                  <c:v>0.41</c:v>
                </c:pt>
                <c:pt idx="15" formatCode="General">
                  <c:v>0.48</c:v>
                </c:pt>
                <c:pt idx="16" formatCode="General">
                  <c:v>0.59</c:v>
                </c:pt>
                <c:pt idx="17" formatCode="General">
                  <c:v>2.2999999999999998</c:v>
                </c:pt>
                <c:pt idx="18" formatCode="General">
                  <c:v>2.15</c:v>
                </c:pt>
                <c:pt idx="19" formatCode="General">
                  <c:v>2.02</c:v>
                </c:pt>
                <c:pt idx="20" formatCode="General">
                  <c:v>1.73</c:v>
                </c:pt>
                <c:pt idx="21" formatCode="General">
                  <c:v>1.69</c:v>
                </c:pt>
                <c:pt idx="22" formatCode="General">
                  <c:v>2.42</c:v>
                </c:pt>
                <c:pt idx="23" formatCode="General">
                  <c:v>1.89</c:v>
                </c:pt>
                <c:pt idx="24" formatCode="General">
                  <c:v>1.79</c:v>
                </c:pt>
                <c:pt idx="25" formatCode="General">
                  <c:v>1.71</c:v>
                </c:pt>
                <c:pt idx="26" formatCode="General">
                  <c:v>1.58</c:v>
                </c:pt>
                <c:pt idx="27" formatCode="General">
                  <c:v>1.82</c:v>
                </c:pt>
                <c:pt idx="28" formatCode="General">
                  <c:v>1.86</c:v>
                </c:pt>
                <c:pt idx="29" formatCode="General">
                  <c:v>1.78</c:v>
                </c:pt>
                <c:pt idx="30" formatCode="General">
                  <c:v>2.4500000000000002</c:v>
                </c:pt>
                <c:pt idx="31" formatCode="General">
                  <c:v>2.0299999999999998</c:v>
                </c:pt>
                <c:pt idx="32" formatCode="General">
                  <c:v>1.79</c:v>
                </c:pt>
                <c:pt idx="33" formatCode="General">
                  <c:v>0.81</c:v>
                </c:pt>
                <c:pt idx="34" formatCode="General">
                  <c:v>0.9</c:v>
                </c:pt>
                <c:pt idx="35" formatCode="General">
                  <c:v>0.91</c:v>
                </c:pt>
                <c:pt idx="36" formatCode="General">
                  <c:v>0.88</c:v>
                </c:pt>
                <c:pt idx="37" formatCode="General">
                  <c:v>0.83</c:v>
                </c:pt>
                <c:pt idx="38" formatCode="General">
                  <c:v>3.53</c:v>
                </c:pt>
                <c:pt idx="39" formatCode="General">
                  <c:v>3.12</c:v>
                </c:pt>
                <c:pt idx="40" formatCode="General">
                  <c:v>2.67</c:v>
                </c:pt>
                <c:pt idx="41" formatCode="General">
                  <c:v>2.52</c:v>
                </c:pt>
                <c:pt idx="42" formatCode="General">
                  <c:v>0.78</c:v>
                </c:pt>
                <c:pt idx="43" formatCode="General">
                  <c:v>0.91</c:v>
                </c:pt>
                <c:pt idx="44" formatCode="General">
                  <c:v>0.93</c:v>
                </c:pt>
                <c:pt idx="45" formatCode="General">
                  <c:v>0.79</c:v>
                </c:pt>
                <c:pt idx="46" formatCode="General">
                  <c:v>0.92</c:v>
                </c:pt>
                <c:pt idx="47" formatCode="General">
                  <c:v>0.94</c:v>
                </c:pt>
                <c:pt idx="48" formatCode="General">
                  <c:v>0.65900000000000003</c:v>
                </c:pt>
                <c:pt idx="49" formatCode="General">
                  <c:v>0.71599999999999997</c:v>
                </c:pt>
                <c:pt idx="50" formatCode="General">
                  <c:v>0.749</c:v>
                </c:pt>
                <c:pt idx="51" formatCode="General">
                  <c:v>0.54</c:v>
                </c:pt>
                <c:pt idx="52" formatCode="General">
                  <c:v>0.61</c:v>
                </c:pt>
                <c:pt idx="53" formatCode="General">
                  <c:v>0.66</c:v>
                </c:pt>
                <c:pt idx="54" formatCode="General">
                  <c:v>0.72</c:v>
                </c:pt>
                <c:pt idx="55" formatCode="0.000">
                  <c:v>2.4213075060532687</c:v>
                </c:pt>
                <c:pt idx="56" formatCode="0.000">
                  <c:v>2.4875621890547261</c:v>
                </c:pt>
                <c:pt idx="57" formatCode="0.000">
                  <c:v>2.5062656641604009</c:v>
                </c:pt>
                <c:pt idx="58" formatCode="0.000">
                  <c:v>2.5125628140703515</c:v>
                </c:pt>
                <c:pt idx="59" formatCode="General">
                  <c:v>1.02</c:v>
                </c:pt>
                <c:pt idx="60" formatCode="General">
                  <c:v>0.91</c:v>
                </c:pt>
                <c:pt idx="61" formatCode="General">
                  <c:v>0.98</c:v>
                </c:pt>
                <c:pt idx="62" formatCode="General">
                  <c:v>0.6</c:v>
                </c:pt>
                <c:pt idx="63" formatCode="General">
                  <c:v>0.62</c:v>
                </c:pt>
                <c:pt idx="64" formatCode="General">
                  <c:v>0.66</c:v>
                </c:pt>
                <c:pt idx="65" formatCode="General">
                  <c:v>0.89</c:v>
                </c:pt>
                <c:pt idx="66" formatCode="General">
                  <c:v>0.92</c:v>
                </c:pt>
                <c:pt idx="70" formatCode="General">
                  <c:v>0.67300000000000004</c:v>
                </c:pt>
                <c:pt idx="71" formatCode="General">
                  <c:v>0.69899999999999995</c:v>
                </c:pt>
                <c:pt idx="72" formatCode="General">
                  <c:v>0.748</c:v>
                </c:pt>
                <c:pt idx="73" formatCode="General">
                  <c:v>0.78700000000000003</c:v>
                </c:pt>
                <c:pt idx="74" formatCode="General">
                  <c:v>0.85699999999999998</c:v>
                </c:pt>
                <c:pt idx="75" formatCode="General">
                  <c:v>2.66</c:v>
                </c:pt>
                <c:pt idx="76" formatCode="General">
                  <c:v>2.4700000000000002</c:v>
                </c:pt>
                <c:pt idx="77" formatCode="General">
                  <c:v>2.23</c:v>
                </c:pt>
                <c:pt idx="78" formatCode="General">
                  <c:v>2.06</c:v>
                </c:pt>
                <c:pt idx="79" formatCode="General">
                  <c:v>1.77</c:v>
                </c:pt>
                <c:pt idx="80" formatCode="General">
                  <c:v>1.78</c:v>
                </c:pt>
                <c:pt idx="81" formatCode="General">
                  <c:v>1.77</c:v>
                </c:pt>
                <c:pt idx="82" formatCode="General">
                  <c:v>1.76</c:v>
                </c:pt>
                <c:pt idx="83" formatCode="General">
                  <c:v>2.74</c:v>
                </c:pt>
                <c:pt idx="84" formatCode="General">
                  <c:v>1.36</c:v>
                </c:pt>
                <c:pt idx="85" formatCode="General">
                  <c:v>1.35</c:v>
                </c:pt>
                <c:pt idx="86" formatCode="General">
                  <c:v>1.33</c:v>
                </c:pt>
                <c:pt idx="87" formatCode="General">
                  <c:v>1.17</c:v>
                </c:pt>
                <c:pt idx="88" formatCode="General">
                  <c:v>1.87</c:v>
                </c:pt>
                <c:pt idx="89" formatCode="General">
                  <c:v>1.82</c:v>
                </c:pt>
                <c:pt idx="90" formatCode="General">
                  <c:v>1.69</c:v>
                </c:pt>
                <c:pt idx="91" formatCode="General">
                  <c:v>1.65</c:v>
                </c:pt>
                <c:pt idx="92" formatCode="General">
                  <c:v>1.05</c:v>
                </c:pt>
                <c:pt idx="97" formatCode="General">
                  <c:v>0.97</c:v>
                </c:pt>
                <c:pt idx="98" formatCode="General">
                  <c:v>0.96</c:v>
                </c:pt>
                <c:pt idx="99" formatCode="General">
                  <c:v>0.88</c:v>
                </c:pt>
                <c:pt idx="100" formatCode="General">
                  <c:v>1.03</c:v>
                </c:pt>
                <c:pt idx="101" formatCode="General">
                  <c:v>1.05</c:v>
                </c:pt>
                <c:pt idx="102" formatCode="General">
                  <c:v>1.1599999999999999</c:v>
                </c:pt>
                <c:pt idx="103" formatCode="General">
                  <c:v>1.19</c:v>
                </c:pt>
                <c:pt idx="104" formatCode="General">
                  <c:v>1.27</c:v>
                </c:pt>
                <c:pt idx="105" formatCode="General">
                  <c:v>1.57</c:v>
                </c:pt>
                <c:pt idx="106" formatCode="General">
                  <c:v>1.66</c:v>
                </c:pt>
                <c:pt idx="107" formatCode="General">
                  <c:v>2.57</c:v>
                </c:pt>
                <c:pt idx="108" formatCode="General">
                  <c:v>2.84</c:v>
                </c:pt>
                <c:pt idx="109" formatCode="General">
                  <c:v>2.86</c:v>
                </c:pt>
                <c:pt idx="110" formatCode="General">
                  <c:v>2.39</c:v>
                </c:pt>
                <c:pt idx="111" formatCode="General">
                  <c:v>2.61</c:v>
                </c:pt>
                <c:pt idx="112" formatCode="General">
                  <c:v>2.57</c:v>
                </c:pt>
                <c:pt idx="113">
                  <c:v>2.7</c:v>
                </c:pt>
                <c:pt idx="114" formatCode="General">
                  <c:v>2.92</c:v>
                </c:pt>
                <c:pt idx="115" formatCode="General">
                  <c:v>2.83</c:v>
                </c:pt>
                <c:pt idx="116" formatCode="General">
                  <c:v>2.62</c:v>
                </c:pt>
                <c:pt idx="117" formatCode="General">
                  <c:v>2.67</c:v>
                </c:pt>
                <c:pt idx="118">
                  <c:v>2.7</c:v>
                </c:pt>
                <c:pt idx="119" formatCode="General">
                  <c:v>2.16</c:v>
                </c:pt>
                <c:pt idx="120" formatCode="General">
                  <c:v>2.29</c:v>
                </c:pt>
                <c:pt idx="125" formatCode="General">
                  <c:v>1.45</c:v>
                </c:pt>
                <c:pt idx="127" formatCode="General">
                  <c:v>1.1000000000000001</c:v>
                </c:pt>
                <c:pt idx="128" formatCode="General">
                  <c:v>1.23</c:v>
                </c:pt>
                <c:pt idx="129" formatCode="General">
                  <c:v>1.37</c:v>
                </c:pt>
              </c:numCache>
            </c:numRef>
          </c:xVal>
          <c:yVal>
            <c:numRef>
              <c:f>Graphs!$B$1:$B$130</c:f>
              <c:numCache>
                <c:formatCode>0.0</c:formatCode>
                <c:ptCount val="130"/>
                <c:pt idx="0">
                  <c:v>168.6</c:v>
                </c:pt>
                <c:pt idx="1">
                  <c:v>242.4</c:v>
                </c:pt>
                <c:pt idx="2">
                  <c:v>229</c:v>
                </c:pt>
                <c:pt idx="3">
                  <c:v>161.30000000000001</c:v>
                </c:pt>
                <c:pt idx="8">
                  <c:v>97</c:v>
                </c:pt>
                <c:pt idx="9">
                  <c:v>110.4</c:v>
                </c:pt>
                <c:pt idx="10">
                  <c:v>57.9</c:v>
                </c:pt>
                <c:pt idx="11">
                  <c:v>103</c:v>
                </c:pt>
                <c:pt idx="12">
                  <c:v>105</c:v>
                </c:pt>
                <c:pt idx="13">
                  <c:v>56.918999999999997</c:v>
                </c:pt>
                <c:pt idx="14">
                  <c:v>101.84</c:v>
                </c:pt>
                <c:pt idx="15">
                  <c:v>150.18</c:v>
                </c:pt>
                <c:pt idx="16">
                  <c:v>28.97</c:v>
                </c:pt>
                <c:pt idx="30">
                  <c:v>83.9</c:v>
                </c:pt>
                <c:pt idx="31">
                  <c:v>75.7</c:v>
                </c:pt>
                <c:pt idx="32">
                  <c:v>35.799999999999997</c:v>
                </c:pt>
                <c:pt idx="38" formatCode="0">
                  <c:v>184</c:v>
                </c:pt>
                <c:pt idx="39">
                  <c:v>299.39999999999998</c:v>
                </c:pt>
                <c:pt idx="40" formatCode="0">
                  <c:v>237</c:v>
                </c:pt>
                <c:pt idx="41" formatCode="0">
                  <c:v>246</c:v>
                </c:pt>
                <c:pt idx="42" formatCode="0">
                  <c:v>161</c:v>
                </c:pt>
                <c:pt idx="43" formatCode="0">
                  <c:v>141</c:v>
                </c:pt>
                <c:pt idx="44" formatCode="0">
                  <c:v>83</c:v>
                </c:pt>
                <c:pt idx="45" formatCode="0">
                  <c:v>181</c:v>
                </c:pt>
                <c:pt idx="46" formatCode="0">
                  <c:v>156</c:v>
                </c:pt>
                <c:pt idx="47" formatCode="0">
                  <c:v>107</c:v>
                </c:pt>
                <c:pt idx="48" formatCode="0">
                  <c:v>154</c:v>
                </c:pt>
                <c:pt idx="49" formatCode="0">
                  <c:v>172</c:v>
                </c:pt>
                <c:pt idx="50" formatCode="0">
                  <c:v>139</c:v>
                </c:pt>
                <c:pt idx="51" formatCode="General">
                  <c:v>46</c:v>
                </c:pt>
                <c:pt idx="52" formatCode="General">
                  <c:v>92</c:v>
                </c:pt>
                <c:pt idx="53" formatCode="General">
                  <c:v>84</c:v>
                </c:pt>
                <c:pt idx="54" formatCode="General">
                  <c:v>40</c:v>
                </c:pt>
                <c:pt idx="59">
                  <c:v>91.9</c:v>
                </c:pt>
                <c:pt idx="60" formatCode="0">
                  <c:v>77</c:v>
                </c:pt>
                <c:pt idx="61" formatCode="0">
                  <c:v>100</c:v>
                </c:pt>
                <c:pt idx="62" formatCode="0">
                  <c:v>101</c:v>
                </c:pt>
                <c:pt idx="63" formatCode="0">
                  <c:v>86</c:v>
                </c:pt>
                <c:pt idx="64" formatCode="0">
                  <c:v>86</c:v>
                </c:pt>
                <c:pt idx="65" formatCode="0">
                  <c:v>77</c:v>
                </c:pt>
                <c:pt idx="66" formatCode="0">
                  <c:v>55</c:v>
                </c:pt>
                <c:pt idx="70" formatCode="0">
                  <c:v>82</c:v>
                </c:pt>
                <c:pt idx="71" formatCode="0">
                  <c:v>75</c:v>
                </c:pt>
                <c:pt idx="72" formatCode="0">
                  <c:v>96</c:v>
                </c:pt>
                <c:pt idx="73" formatCode="0">
                  <c:v>57</c:v>
                </c:pt>
                <c:pt idx="74" formatCode="0">
                  <c:v>53</c:v>
                </c:pt>
                <c:pt idx="83" formatCode="0">
                  <c:v>112</c:v>
                </c:pt>
                <c:pt idx="84" formatCode="0">
                  <c:v>154</c:v>
                </c:pt>
                <c:pt idx="85">
                  <c:v>183.4</c:v>
                </c:pt>
                <c:pt idx="86" formatCode="0">
                  <c:v>165</c:v>
                </c:pt>
                <c:pt idx="87" formatCode="0">
                  <c:v>179</c:v>
                </c:pt>
                <c:pt idx="88" formatCode="0">
                  <c:v>102</c:v>
                </c:pt>
                <c:pt idx="89" formatCode="0">
                  <c:v>134</c:v>
                </c:pt>
                <c:pt idx="90">
                  <c:v>149.5</c:v>
                </c:pt>
                <c:pt idx="91" formatCode="0">
                  <c:v>75</c:v>
                </c:pt>
                <c:pt idx="92">
                  <c:v>192</c:v>
                </c:pt>
                <c:pt idx="98" formatCode="0">
                  <c:v>104</c:v>
                </c:pt>
                <c:pt idx="107" formatCode="0">
                  <c:v>182</c:v>
                </c:pt>
                <c:pt idx="108" formatCode="0">
                  <c:v>283</c:v>
                </c:pt>
                <c:pt idx="109" formatCode="0">
                  <c:v>287</c:v>
                </c:pt>
                <c:pt idx="110" formatCode="0">
                  <c:v>235</c:v>
                </c:pt>
                <c:pt idx="111" formatCode="0">
                  <c:v>167</c:v>
                </c:pt>
                <c:pt idx="112" formatCode="0">
                  <c:v>182</c:v>
                </c:pt>
                <c:pt idx="113" formatCode="0">
                  <c:v>239</c:v>
                </c:pt>
                <c:pt idx="114" formatCode="0">
                  <c:v>279</c:v>
                </c:pt>
                <c:pt idx="115" formatCode="0">
                  <c:v>277</c:v>
                </c:pt>
                <c:pt idx="116" formatCode="0">
                  <c:v>75</c:v>
                </c:pt>
                <c:pt idx="117" formatCode="0">
                  <c:v>296</c:v>
                </c:pt>
                <c:pt idx="118" formatCode="0">
                  <c:v>268</c:v>
                </c:pt>
                <c:pt idx="119" formatCode="0">
                  <c:v>195</c:v>
                </c:pt>
                <c:pt idx="120" formatCode="0">
                  <c:v>161</c:v>
                </c:pt>
                <c:pt idx="121">
                  <c:v>117</c:v>
                </c:pt>
                <c:pt idx="122">
                  <c:v>111</c:v>
                </c:pt>
                <c:pt idx="123">
                  <c:v>94</c:v>
                </c:pt>
                <c:pt idx="124">
                  <c:v>76</c:v>
                </c:pt>
                <c:pt idx="125" formatCode="0">
                  <c:v>192</c:v>
                </c:pt>
                <c:pt idx="126" formatCode="0">
                  <c:v>102</c:v>
                </c:pt>
                <c:pt idx="127" formatCode="0">
                  <c:v>119</c:v>
                </c:pt>
                <c:pt idx="128" formatCode="0">
                  <c:v>252</c:v>
                </c:pt>
                <c:pt idx="129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8-4DA3-8AED-2BD70249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69487"/>
        <c:axId val="2094370447"/>
      </c:scatterChart>
      <c:valAx>
        <c:axId val="209436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70447"/>
        <c:crosses val="autoZero"/>
        <c:crossBetween val="midCat"/>
      </c:valAx>
      <c:valAx>
        <c:axId val="20943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6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</xdr:colOff>
      <xdr:row>1</xdr:row>
      <xdr:rowOff>504825</xdr:rowOff>
    </xdr:from>
    <xdr:to>
      <xdr:col>29</xdr:col>
      <xdr:colOff>73025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CDA1DE-7A4E-FAA7-5145-FD105A964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320675</xdr:colOff>
      <xdr:row>18</xdr:row>
      <xdr:rowOff>85725</xdr:rowOff>
    </xdr:from>
    <xdr:to>
      <xdr:col>29</xdr:col>
      <xdr:colOff>15875</xdr:colOff>
      <xdr:row>28</xdr:row>
      <xdr:rowOff>234950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2121E-5A27-889D-8D4B-817F9563B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6</xdr:row>
      <xdr:rowOff>82550</xdr:rowOff>
    </xdr:from>
    <xdr:to>
      <xdr:col>18</xdr:col>
      <xdr:colOff>492125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2966B-8D4A-B32A-79FB-559AC9F6A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hemistry-europe.onlinelibrary.wiley.com/doi/10.1002/celc.201500437" TargetMode="External"/><Relationship Id="rId13" Type="http://schemas.openxmlformats.org/officeDocument/2006/relationships/hyperlink" Target="https://www.sciencedirect.com/science/article/pii/S0378775317306328" TargetMode="External"/><Relationship Id="rId18" Type="http://schemas.openxmlformats.org/officeDocument/2006/relationships/hyperlink" Target="https://chemistry-europe.onlinelibrary.wiley.com/doi/10.1002/celc.201500437" TargetMode="External"/><Relationship Id="rId26" Type="http://schemas.openxmlformats.org/officeDocument/2006/relationships/hyperlink" Target="https://link.springer.com/article/10.1007/s10008-016-3485-z" TargetMode="External"/><Relationship Id="rId3" Type="http://schemas.openxmlformats.org/officeDocument/2006/relationships/hyperlink" Target="https://www.sciencedirect.com/science/article/pii/S0378775317306328" TargetMode="External"/><Relationship Id="rId21" Type="http://schemas.openxmlformats.org/officeDocument/2006/relationships/hyperlink" Target="https://www.pnas.org/doi/full/10.1073/pnas.2111119118" TargetMode="External"/><Relationship Id="rId7" Type="http://schemas.openxmlformats.org/officeDocument/2006/relationships/hyperlink" Target="https://www.sciencedirect.com/science/article/pii/S0008622317308163?via%3Dihub" TargetMode="External"/><Relationship Id="rId12" Type="http://schemas.openxmlformats.org/officeDocument/2006/relationships/hyperlink" Target="https://iastate.app.box.com/file/1436314017403" TargetMode="External"/><Relationship Id="rId17" Type="http://schemas.openxmlformats.org/officeDocument/2006/relationships/hyperlink" Target="https://www.sciencedirect.com/science/article/pii/S0008622317308163?via%3Dihub" TargetMode="External"/><Relationship Id="rId25" Type="http://schemas.openxmlformats.org/officeDocument/2006/relationships/hyperlink" Target="https://pubs.rsc.org/en/content/articlelanding/2018/ta/c7ta07951f" TargetMode="External"/><Relationship Id="rId2" Type="http://schemas.openxmlformats.org/officeDocument/2006/relationships/hyperlink" Target="https://iastate.app.box.com/file/1436314017403" TargetMode="External"/><Relationship Id="rId16" Type="http://schemas.openxmlformats.org/officeDocument/2006/relationships/hyperlink" Target="https://link.springer.com/article/10.1007/s10008-016-3485-z" TargetMode="External"/><Relationship Id="rId20" Type="http://schemas.openxmlformats.org/officeDocument/2006/relationships/hyperlink" Target="https://link.springer.com/article/10.1007/s10853-018-03229-2" TargetMode="External"/><Relationship Id="rId29" Type="http://schemas.openxmlformats.org/officeDocument/2006/relationships/hyperlink" Target="https://www.sciencedirect.com/science/article/pii/S0013468620314341" TargetMode="External"/><Relationship Id="rId1" Type="http://schemas.openxmlformats.org/officeDocument/2006/relationships/hyperlink" Target="https://www.pnas.org/doi/full/10.1073/pnas.2111119118" TargetMode="External"/><Relationship Id="rId6" Type="http://schemas.openxmlformats.org/officeDocument/2006/relationships/hyperlink" Target="https://link.springer.com/article/10.1007/s10008-016-3485-z" TargetMode="External"/><Relationship Id="rId11" Type="http://schemas.openxmlformats.org/officeDocument/2006/relationships/hyperlink" Target="https://www.pnas.org/doi/full/10.1073/pnas.2111119118" TargetMode="External"/><Relationship Id="rId24" Type="http://schemas.openxmlformats.org/officeDocument/2006/relationships/hyperlink" Target="https://www.sciencedirect.com/science/article/pii/S1385894722059149" TargetMode="External"/><Relationship Id="rId5" Type="http://schemas.openxmlformats.org/officeDocument/2006/relationships/hyperlink" Target="https://pubs.rsc.org/en/content/articlelanding/2018/ta/c7ta07951f" TargetMode="External"/><Relationship Id="rId15" Type="http://schemas.openxmlformats.org/officeDocument/2006/relationships/hyperlink" Target="https://pubs.rsc.org/en/content/articlelanding/2018/ta/c7ta07951f" TargetMode="External"/><Relationship Id="rId23" Type="http://schemas.openxmlformats.org/officeDocument/2006/relationships/hyperlink" Target="https://www.sciencedirect.com/science/article/pii/S0378775317306328" TargetMode="External"/><Relationship Id="rId28" Type="http://schemas.openxmlformats.org/officeDocument/2006/relationships/hyperlink" Target="https://chemistry-europe.onlinelibrary.wiley.com/doi/10.1002/celc.201500437" TargetMode="External"/><Relationship Id="rId10" Type="http://schemas.openxmlformats.org/officeDocument/2006/relationships/hyperlink" Target="https://link.springer.com/article/10.1007/s10853-018-03229-2" TargetMode="External"/><Relationship Id="rId19" Type="http://schemas.openxmlformats.org/officeDocument/2006/relationships/hyperlink" Target="https://www.sciencedirect.com/science/article/pii/S0013468620314341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sciencedirect.com/science/article/pii/S1385894722059149" TargetMode="External"/><Relationship Id="rId9" Type="http://schemas.openxmlformats.org/officeDocument/2006/relationships/hyperlink" Target="https://www.sciencedirect.com/science/article/pii/S0013468620314341" TargetMode="External"/><Relationship Id="rId14" Type="http://schemas.openxmlformats.org/officeDocument/2006/relationships/hyperlink" Target="https://www.sciencedirect.com/science/article/pii/S1385894722059149" TargetMode="External"/><Relationship Id="rId22" Type="http://schemas.openxmlformats.org/officeDocument/2006/relationships/hyperlink" Target="https://iastate.app.box.com/file/1436314017403" TargetMode="External"/><Relationship Id="rId27" Type="http://schemas.openxmlformats.org/officeDocument/2006/relationships/hyperlink" Target="https://www.sciencedirect.com/science/article/pii/S0008622317308163?via%3Dihub" TargetMode="External"/><Relationship Id="rId30" Type="http://schemas.openxmlformats.org/officeDocument/2006/relationships/hyperlink" Target="https://link.springer.com/article/10.1007/s10853-018-03229-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931"/>
  <sheetViews>
    <sheetView tabSelected="1" zoomScale="75" zoomScaleNormal="75" workbookViewId="0">
      <pane xSplit="1" ySplit="1" topLeftCell="B70" activePane="bottomRight" state="frozen"/>
      <selection pane="topRight" activeCell="B1" sqref="B1"/>
      <selection pane="bottomLeft" activeCell="A4" sqref="A4"/>
      <selection pane="bottomRight" activeCell="F21" sqref="F21"/>
    </sheetView>
  </sheetViews>
  <sheetFormatPr defaultColWidth="12.5703125" defaultRowHeight="15.75" customHeight="1" x14ac:dyDescent="0.2"/>
  <cols>
    <col min="1" max="1" width="27.42578125" customWidth="1"/>
    <col min="2" max="2" width="14.28515625" customWidth="1"/>
    <col min="3" max="3" width="22.5703125" customWidth="1"/>
    <col min="4" max="4" width="18.7109375" customWidth="1"/>
    <col min="5" max="5" width="16" customWidth="1"/>
    <col min="6" max="6" width="23.85546875" customWidth="1"/>
  </cols>
  <sheetData>
    <row r="1" spans="1:17" ht="48.75" customHeight="1" x14ac:dyDescent="0.2">
      <c r="A1" s="58" t="s">
        <v>181</v>
      </c>
      <c r="B1" s="59" t="s">
        <v>180</v>
      </c>
      <c r="C1" s="60" t="s">
        <v>1</v>
      </c>
      <c r="D1" s="61" t="s">
        <v>182</v>
      </c>
      <c r="E1" s="62" t="s">
        <v>2</v>
      </c>
      <c r="F1" s="62" t="s">
        <v>3</v>
      </c>
    </row>
    <row r="2" spans="1:17" ht="12.75" x14ac:dyDescent="0.2">
      <c r="A2" s="63">
        <v>900</v>
      </c>
      <c r="B2" s="63">
        <v>3.42</v>
      </c>
      <c r="C2" s="63">
        <v>3.85</v>
      </c>
      <c r="D2" s="63">
        <v>279.5</v>
      </c>
      <c r="E2" s="63">
        <v>80.099999999999994</v>
      </c>
      <c r="F2" s="63">
        <v>217.8</v>
      </c>
    </row>
    <row r="3" spans="1:17" ht="12.75" x14ac:dyDescent="0.2">
      <c r="A3" s="64">
        <v>1100</v>
      </c>
      <c r="B3" s="65">
        <v>3</v>
      </c>
      <c r="C3" s="63">
        <v>3.83</v>
      </c>
      <c r="D3" s="63">
        <v>9.1999999999999993</v>
      </c>
      <c r="E3" s="63">
        <v>88.9</v>
      </c>
      <c r="F3" s="63">
        <v>299.39999999999998</v>
      </c>
    </row>
    <row r="4" spans="1:17" ht="12.75" x14ac:dyDescent="0.2">
      <c r="A4" s="63">
        <v>1100</v>
      </c>
      <c r="B4" s="63">
        <v>3.25</v>
      </c>
      <c r="C4" s="63">
        <v>3.99</v>
      </c>
      <c r="D4" s="63">
        <v>57.4</v>
      </c>
      <c r="E4" s="63">
        <v>80.599999999999994</v>
      </c>
      <c r="F4" s="63">
        <v>272</v>
      </c>
    </row>
    <row r="5" spans="1:17" ht="12.75" x14ac:dyDescent="0.2">
      <c r="A5" s="63">
        <v>1300</v>
      </c>
      <c r="B5" s="63">
        <v>1.8129999999999999</v>
      </c>
      <c r="C5" s="63">
        <v>3.81</v>
      </c>
      <c r="D5" s="63">
        <v>51.25</v>
      </c>
      <c r="E5" s="63">
        <v>56.14</v>
      </c>
      <c r="F5" s="63">
        <v>236.1</v>
      </c>
    </row>
    <row r="6" spans="1:17" ht="13.5" thickBot="1" x14ac:dyDescent="0.25">
      <c r="A6" s="63">
        <v>1300</v>
      </c>
      <c r="B6" s="63">
        <v>1.5329999999999999</v>
      </c>
      <c r="C6" s="63">
        <v>3.83</v>
      </c>
      <c r="D6" s="63">
        <v>99.94</v>
      </c>
      <c r="E6" s="63">
        <v>52.5</v>
      </c>
      <c r="F6" s="63">
        <v>220</v>
      </c>
    </row>
    <row r="7" spans="1:17" ht="12.75" x14ac:dyDescent="0.2">
      <c r="A7" s="63">
        <v>1300</v>
      </c>
      <c r="B7" s="63">
        <v>1.601</v>
      </c>
      <c r="C7" s="63">
        <v>3.86</v>
      </c>
      <c r="D7" s="63">
        <v>195.67</v>
      </c>
      <c r="E7" s="63">
        <v>48.2</v>
      </c>
      <c r="F7" s="63">
        <v>183</v>
      </c>
      <c r="L7" s="68"/>
      <c r="M7" s="70"/>
      <c r="N7" s="73"/>
      <c r="O7" s="75"/>
      <c r="P7" s="72"/>
      <c r="Q7" s="72"/>
    </row>
    <row r="8" spans="1:17" ht="13.5" thickBot="1" x14ac:dyDescent="0.25">
      <c r="A8" s="63">
        <v>1300</v>
      </c>
      <c r="B8" s="63">
        <v>1.5409999999999999</v>
      </c>
      <c r="C8" s="63">
        <v>3.87</v>
      </c>
      <c r="D8" s="63">
        <v>207.9</v>
      </c>
      <c r="E8" s="63">
        <v>47.9</v>
      </c>
      <c r="F8" s="63">
        <v>185</v>
      </c>
      <c r="L8" s="69"/>
      <c r="M8" s="71"/>
      <c r="N8" s="74"/>
      <c r="O8" s="76"/>
      <c r="P8" s="69"/>
      <c r="Q8" s="69"/>
    </row>
    <row r="9" spans="1:17" ht="13.5" thickTop="1" x14ac:dyDescent="0.2">
      <c r="A9" s="63">
        <v>800</v>
      </c>
      <c r="B9" s="63">
        <v>2.2999999999999998</v>
      </c>
      <c r="C9" s="63">
        <v>4.01</v>
      </c>
      <c r="D9" s="63">
        <v>115.6</v>
      </c>
      <c r="E9" s="63">
        <v>71.5</v>
      </c>
      <c r="F9" s="63">
        <v>215</v>
      </c>
    </row>
    <row r="10" spans="1:17" ht="12.75" x14ac:dyDescent="0.2">
      <c r="A10" s="63">
        <v>1000</v>
      </c>
      <c r="B10" s="63">
        <v>2.15</v>
      </c>
      <c r="C10" s="63">
        <v>3.86</v>
      </c>
      <c r="D10" s="63">
        <v>15.6</v>
      </c>
      <c r="E10" s="63">
        <v>78.3</v>
      </c>
      <c r="F10" s="63">
        <v>242</v>
      </c>
    </row>
    <row r="11" spans="1:17" ht="12.75" x14ac:dyDescent="0.2">
      <c r="A11" s="63">
        <v>1200</v>
      </c>
      <c r="B11" s="63">
        <v>2.02</v>
      </c>
      <c r="C11" s="63">
        <v>3.84</v>
      </c>
      <c r="D11" s="63">
        <v>35.1</v>
      </c>
      <c r="E11" s="63">
        <v>84.5</v>
      </c>
      <c r="F11" s="63">
        <v>260</v>
      </c>
    </row>
    <row r="12" spans="1:17" ht="12.75" x14ac:dyDescent="0.2">
      <c r="A12" s="63">
        <v>1300</v>
      </c>
      <c r="B12" s="63">
        <v>1.73</v>
      </c>
      <c r="C12" s="63">
        <v>3.76</v>
      </c>
      <c r="D12" s="63">
        <v>26.7</v>
      </c>
      <c r="E12" s="63">
        <v>87.6</v>
      </c>
      <c r="F12" s="63">
        <v>277</v>
      </c>
    </row>
    <row r="13" spans="1:17" ht="12.75" x14ac:dyDescent="0.2">
      <c r="A13" s="63">
        <v>1400</v>
      </c>
      <c r="B13" s="63">
        <v>1.69</v>
      </c>
      <c r="C13" s="63">
        <v>3.71</v>
      </c>
      <c r="D13" s="63">
        <v>34.700000000000003</v>
      </c>
      <c r="E13" s="63">
        <v>88.4</v>
      </c>
      <c r="F13" s="63">
        <v>274</v>
      </c>
    </row>
    <row r="14" spans="1:17" ht="12.75" x14ac:dyDescent="0.2">
      <c r="A14" s="63">
        <v>800</v>
      </c>
      <c r="B14" s="63">
        <v>2.42</v>
      </c>
      <c r="C14" s="63">
        <v>3.82</v>
      </c>
      <c r="D14" s="63">
        <v>225.9</v>
      </c>
      <c r="E14" s="63">
        <v>67.3</v>
      </c>
      <c r="F14" s="63">
        <v>207</v>
      </c>
    </row>
    <row r="15" spans="1:17" ht="12.75" x14ac:dyDescent="0.2">
      <c r="A15" s="63">
        <v>1000</v>
      </c>
      <c r="B15" s="63">
        <v>1.89</v>
      </c>
      <c r="C15" s="63">
        <v>3.85</v>
      </c>
      <c r="D15" s="63">
        <v>103</v>
      </c>
      <c r="E15" s="63">
        <v>70.7</v>
      </c>
      <c r="F15" s="63">
        <v>223</v>
      </c>
    </row>
    <row r="16" spans="1:17" ht="12.75" x14ac:dyDescent="0.2">
      <c r="A16" s="63">
        <v>1200</v>
      </c>
      <c r="B16" s="63">
        <v>1.79</v>
      </c>
      <c r="C16" s="63">
        <v>3.83</v>
      </c>
      <c r="D16" s="63">
        <v>66.5</v>
      </c>
      <c r="E16" s="63">
        <v>80.7</v>
      </c>
      <c r="F16" s="63">
        <v>264</v>
      </c>
    </row>
    <row r="17" spans="1:6" ht="12.75" x14ac:dyDescent="0.2">
      <c r="A17" s="63">
        <v>1300</v>
      </c>
      <c r="B17" s="63">
        <v>1.71</v>
      </c>
      <c r="C17" s="63">
        <v>3.79</v>
      </c>
      <c r="D17" s="63">
        <v>38.6</v>
      </c>
      <c r="E17" s="63">
        <v>86.5</v>
      </c>
      <c r="F17" s="63">
        <v>295</v>
      </c>
    </row>
    <row r="18" spans="1:6" ht="12.75" x14ac:dyDescent="0.2">
      <c r="A18" s="63">
        <v>1400</v>
      </c>
      <c r="B18" s="63">
        <v>1.58</v>
      </c>
      <c r="C18" s="63">
        <v>3.76</v>
      </c>
      <c r="D18" s="63">
        <v>33.299999999999997</v>
      </c>
      <c r="E18" s="63">
        <v>88.3</v>
      </c>
      <c r="F18" s="63">
        <v>300</v>
      </c>
    </row>
    <row r="19" spans="1:6" ht="12.75" x14ac:dyDescent="0.2">
      <c r="A19" s="63">
        <v>1300</v>
      </c>
      <c r="B19" s="63">
        <v>1.82</v>
      </c>
      <c r="C19" s="65">
        <v>3.7</v>
      </c>
      <c r="D19" s="63">
        <v>6</v>
      </c>
      <c r="E19" s="63">
        <v>66</v>
      </c>
      <c r="F19" s="63">
        <v>315</v>
      </c>
    </row>
    <row r="20" spans="1:6" ht="12.75" x14ac:dyDescent="0.2">
      <c r="A20" s="63">
        <v>1300</v>
      </c>
      <c r="B20" s="63">
        <v>1.86</v>
      </c>
      <c r="C20" s="63">
        <v>3.75</v>
      </c>
      <c r="D20" s="63">
        <v>7</v>
      </c>
      <c r="E20" s="63">
        <v>63</v>
      </c>
      <c r="F20" s="63">
        <v>294</v>
      </c>
    </row>
    <row r="21" spans="1:6" ht="12.75" x14ac:dyDescent="0.2">
      <c r="A21" s="63">
        <v>1300</v>
      </c>
      <c r="B21" s="63">
        <v>1.78</v>
      </c>
      <c r="C21" s="63">
        <v>3.68</v>
      </c>
      <c r="D21" s="63">
        <v>10</v>
      </c>
      <c r="E21" s="63">
        <v>62</v>
      </c>
      <c r="F21" s="63">
        <v>314</v>
      </c>
    </row>
    <row r="22" spans="1:6" ht="12.75" x14ac:dyDescent="0.2">
      <c r="A22" s="63">
        <v>1000</v>
      </c>
      <c r="B22" s="63">
        <v>2.4500000000000002</v>
      </c>
      <c r="C22" s="63">
        <v>3.91</v>
      </c>
      <c r="D22" s="63">
        <v>751.6</v>
      </c>
      <c r="E22" s="63">
        <v>45.8</v>
      </c>
      <c r="F22" s="63">
        <v>256</v>
      </c>
    </row>
    <row r="23" spans="1:6" ht="12.75" x14ac:dyDescent="0.2">
      <c r="A23" s="63">
        <v>1200</v>
      </c>
      <c r="B23" s="63">
        <v>2.0299999999999998</v>
      </c>
      <c r="C23" s="63">
        <v>3.86</v>
      </c>
      <c r="D23" s="63">
        <v>140.69999999999999</v>
      </c>
      <c r="E23" s="63">
        <v>50.4</v>
      </c>
      <c r="F23" s="63">
        <v>328.8</v>
      </c>
    </row>
    <row r="24" spans="1:6" ht="12.75" x14ac:dyDescent="0.2">
      <c r="A24" s="63">
        <v>1400</v>
      </c>
      <c r="B24" s="63">
        <v>1.79</v>
      </c>
      <c r="C24" s="63">
        <v>3.7</v>
      </c>
      <c r="D24" s="63">
        <v>108.8</v>
      </c>
      <c r="E24" s="63">
        <v>32.200000000000003</v>
      </c>
      <c r="F24" s="63">
        <v>137</v>
      </c>
    </row>
    <row r="25" spans="1:6" ht="12.75" x14ac:dyDescent="0.2">
      <c r="A25" s="63">
        <v>1000</v>
      </c>
      <c r="B25" s="63">
        <v>0.81</v>
      </c>
      <c r="C25" s="63">
        <v>3.73</v>
      </c>
      <c r="D25" s="63">
        <v>35.46</v>
      </c>
      <c r="E25" s="63">
        <v>53.84</v>
      </c>
      <c r="F25" s="66">
        <v>203.6</v>
      </c>
    </row>
    <row r="26" spans="1:6" ht="12.75" x14ac:dyDescent="0.2">
      <c r="A26" s="63">
        <v>1000</v>
      </c>
      <c r="B26" s="63">
        <v>0.9</v>
      </c>
      <c r="C26" s="63">
        <v>3.68</v>
      </c>
      <c r="D26" s="63">
        <v>57.79</v>
      </c>
      <c r="E26" s="63">
        <v>50.46</v>
      </c>
      <c r="F26" s="66">
        <v>187.9</v>
      </c>
    </row>
    <row r="27" spans="1:6" ht="12.75" x14ac:dyDescent="0.2">
      <c r="A27" s="63">
        <v>1000</v>
      </c>
      <c r="B27" s="63">
        <v>0.91</v>
      </c>
      <c r="C27" s="63">
        <v>3.55</v>
      </c>
      <c r="D27" s="63">
        <v>87.26</v>
      </c>
      <c r="E27" s="63">
        <v>28.02</v>
      </c>
      <c r="F27" s="66">
        <v>112.1</v>
      </c>
    </row>
    <row r="28" spans="1:6" ht="12.75" x14ac:dyDescent="0.2">
      <c r="A28" s="63">
        <v>800</v>
      </c>
      <c r="B28" s="63">
        <v>0.78</v>
      </c>
      <c r="C28" s="63">
        <v>3.97</v>
      </c>
      <c r="D28" s="63">
        <v>33</v>
      </c>
      <c r="E28" s="63">
        <v>63</v>
      </c>
      <c r="F28" s="63">
        <v>345</v>
      </c>
    </row>
    <row r="29" spans="1:6" ht="12.75" x14ac:dyDescent="0.2">
      <c r="A29" s="63">
        <v>1100</v>
      </c>
      <c r="B29" s="63">
        <v>0.91</v>
      </c>
      <c r="C29" s="63">
        <v>3.91</v>
      </c>
      <c r="D29" s="63">
        <v>19.3</v>
      </c>
      <c r="E29" s="63">
        <v>70</v>
      </c>
      <c r="F29" s="63">
        <v>386</v>
      </c>
    </row>
    <row r="30" spans="1:6" ht="12.75" x14ac:dyDescent="0.2">
      <c r="A30" s="63">
        <v>1400</v>
      </c>
      <c r="B30" s="63">
        <v>0.93</v>
      </c>
      <c r="C30" s="63">
        <v>3.84</v>
      </c>
      <c r="D30" s="63">
        <v>14.5</v>
      </c>
      <c r="E30" s="63">
        <v>73</v>
      </c>
      <c r="F30" s="63">
        <v>353</v>
      </c>
    </row>
    <row r="31" spans="1:6" ht="12.75" x14ac:dyDescent="0.2">
      <c r="A31" s="63">
        <v>800</v>
      </c>
      <c r="B31" s="63">
        <v>0.79</v>
      </c>
      <c r="C31" s="63">
        <v>3.99</v>
      </c>
      <c r="D31" s="63">
        <v>217.3</v>
      </c>
      <c r="E31" s="63">
        <v>61</v>
      </c>
      <c r="F31" s="63">
        <v>338</v>
      </c>
    </row>
    <row r="32" spans="1:6" ht="12.75" x14ac:dyDescent="0.2">
      <c r="A32" s="63">
        <v>1100</v>
      </c>
      <c r="B32" s="63">
        <v>0.92</v>
      </c>
      <c r="C32" s="63">
        <v>3.92</v>
      </c>
      <c r="D32" s="63">
        <v>130.80000000000001</v>
      </c>
      <c r="E32" s="63">
        <v>68</v>
      </c>
      <c r="F32" s="63">
        <v>365</v>
      </c>
    </row>
    <row r="33" spans="1:6" ht="12.75" x14ac:dyDescent="0.2">
      <c r="A33" s="63">
        <v>1400</v>
      </c>
      <c r="B33" s="63">
        <v>0.94</v>
      </c>
      <c r="C33" s="63">
        <v>3.86</v>
      </c>
      <c r="D33" s="63">
        <v>62.1</v>
      </c>
      <c r="E33" s="63">
        <v>71</v>
      </c>
      <c r="F33" s="63">
        <v>358</v>
      </c>
    </row>
    <row r="34" spans="1:6" ht="12.75" x14ac:dyDescent="0.2">
      <c r="A34" s="63">
        <v>1100</v>
      </c>
      <c r="B34" s="63">
        <v>0.65900000000000003</v>
      </c>
      <c r="C34" s="63">
        <v>4.03</v>
      </c>
      <c r="D34" s="63">
        <v>2.68</v>
      </c>
      <c r="E34" s="63">
        <v>64</v>
      </c>
      <c r="F34" s="63">
        <v>323</v>
      </c>
    </row>
    <row r="35" spans="1:6" ht="12.75" x14ac:dyDescent="0.2">
      <c r="A35" s="63">
        <v>1300</v>
      </c>
      <c r="B35" s="63">
        <v>0.71599999999999997</v>
      </c>
      <c r="C35" s="63">
        <v>3.95</v>
      </c>
      <c r="D35" s="63">
        <v>0.27</v>
      </c>
      <c r="E35" s="63">
        <v>66</v>
      </c>
      <c r="F35" s="63">
        <v>372</v>
      </c>
    </row>
    <row r="36" spans="1:6" ht="12.75" x14ac:dyDescent="0.2">
      <c r="A36" s="63">
        <v>1500</v>
      </c>
      <c r="B36" s="63">
        <v>0.749</v>
      </c>
      <c r="C36" s="63">
        <v>3.84</v>
      </c>
      <c r="D36" s="63">
        <v>0.23</v>
      </c>
      <c r="E36" s="63">
        <v>68</v>
      </c>
      <c r="F36" s="63">
        <v>327</v>
      </c>
    </row>
    <row r="37" spans="1:6" ht="12.75" x14ac:dyDescent="0.2">
      <c r="A37" s="63">
        <v>900</v>
      </c>
      <c r="B37" s="63">
        <v>0.54</v>
      </c>
      <c r="C37" s="63">
        <v>4.03</v>
      </c>
      <c r="D37" s="63">
        <v>325.27</v>
      </c>
      <c r="E37" s="63">
        <v>49.21</v>
      </c>
      <c r="F37" s="63">
        <v>177.7</v>
      </c>
    </row>
    <row r="38" spans="1:6" ht="12.75" x14ac:dyDescent="0.2">
      <c r="A38" s="63">
        <v>1100</v>
      </c>
      <c r="B38" s="63">
        <v>0.61</v>
      </c>
      <c r="C38" s="63">
        <v>3.98</v>
      </c>
      <c r="D38" s="63">
        <v>82.01</v>
      </c>
      <c r="E38" s="63">
        <v>73.13</v>
      </c>
      <c r="F38" s="63">
        <v>338.8</v>
      </c>
    </row>
    <row r="39" spans="1:6" ht="12.75" x14ac:dyDescent="0.2">
      <c r="A39" s="63">
        <v>1300</v>
      </c>
      <c r="B39" s="63">
        <v>0.66</v>
      </c>
      <c r="C39" s="63">
        <v>3.91</v>
      </c>
      <c r="D39" s="63">
        <v>36.200000000000003</v>
      </c>
      <c r="E39" s="63">
        <v>77.03</v>
      </c>
      <c r="F39" s="66">
        <v>372</v>
      </c>
    </row>
    <row r="40" spans="1:6" ht="12.75" x14ac:dyDescent="0.2">
      <c r="A40" s="63">
        <v>1500</v>
      </c>
      <c r="B40" s="63">
        <v>0.72</v>
      </c>
      <c r="C40" s="63">
        <v>3.75</v>
      </c>
      <c r="D40" s="63">
        <v>23.87</v>
      </c>
      <c r="E40" s="63">
        <v>79.39</v>
      </c>
      <c r="F40" s="63">
        <v>343.1</v>
      </c>
    </row>
    <row r="41" spans="1:6" ht="12.75" x14ac:dyDescent="0.2">
      <c r="A41" s="63">
        <v>800</v>
      </c>
      <c r="B41" s="67">
        <f>1/0.413</f>
        <v>2.4213075060532687</v>
      </c>
      <c r="C41" s="63">
        <v>3.7389999999999999</v>
      </c>
      <c r="D41" s="63">
        <v>306</v>
      </c>
      <c r="E41" s="63">
        <v>62</v>
      </c>
      <c r="F41" s="63">
        <v>210</v>
      </c>
    </row>
    <row r="42" spans="1:6" ht="12.75" x14ac:dyDescent="0.2">
      <c r="A42" s="63">
        <v>800</v>
      </c>
      <c r="B42" s="67">
        <f>1/0.402</f>
        <v>2.4875621890547261</v>
      </c>
      <c r="C42" s="63">
        <v>3.7730000000000001</v>
      </c>
      <c r="D42" s="63">
        <v>338</v>
      </c>
      <c r="E42" s="63">
        <v>60</v>
      </c>
      <c r="F42" s="63">
        <v>247</v>
      </c>
    </row>
    <row r="43" spans="1:6" ht="12.75" x14ac:dyDescent="0.2">
      <c r="A43" s="63">
        <v>800</v>
      </c>
      <c r="B43" s="67">
        <f>1/0.399</f>
        <v>2.5062656641604009</v>
      </c>
      <c r="C43" s="63">
        <v>3.778</v>
      </c>
      <c r="D43" s="63">
        <v>395</v>
      </c>
      <c r="E43" s="63">
        <v>58</v>
      </c>
      <c r="F43" s="63">
        <v>261</v>
      </c>
    </row>
    <row r="44" spans="1:6" ht="12.75" x14ac:dyDescent="0.2">
      <c r="A44" s="63">
        <v>800</v>
      </c>
      <c r="B44" s="67">
        <f>1/0.398</f>
        <v>2.5125628140703515</v>
      </c>
      <c r="C44" s="67">
        <v>3.81</v>
      </c>
      <c r="D44" s="63">
        <v>334</v>
      </c>
      <c r="E44" s="63">
        <v>43</v>
      </c>
      <c r="F44" s="63">
        <v>152</v>
      </c>
    </row>
    <row r="45" spans="1:6" ht="12.75" x14ac:dyDescent="0.2">
      <c r="A45" s="63">
        <v>1000</v>
      </c>
      <c r="B45" s="63">
        <v>1.02</v>
      </c>
      <c r="C45" s="63">
        <v>4.4000000000000004</v>
      </c>
      <c r="D45" s="63">
        <v>1.86</v>
      </c>
      <c r="E45" s="63">
        <v>67.3</v>
      </c>
      <c r="F45" s="63">
        <v>310.2</v>
      </c>
    </row>
    <row r="46" spans="1:6" ht="12.75" x14ac:dyDescent="0.2">
      <c r="A46" s="63">
        <v>900</v>
      </c>
      <c r="B46" s="63">
        <v>0.91</v>
      </c>
      <c r="C46" s="63">
        <v>3.67</v>
      </c>
      <c r="D46" s="63">
        <v>1295.21</v>
      </c>
      <c r="E46" s="63">
        <v>42.4</v>
      </c>
      <c r="F46" s="63">
        <v>230.2</v>
      </c>
    </row>
    <row r="47" spans="1:6" ht="12.75" x14ac:dyDescent="0.2">
      <c r="A47" s="63">
        <v>1200</v>
      </c>
      <c r="B47" s="63">
        <v>0.98</v>
      </c>
      <c r="C47" s="63">
        <v>3.83</v>
      </c>
      <c r="D47" s="63">
        <v>111.58</v>
      </c>
      <c r="E47" s="63">
        <v>50.53</v>
      </c>
      <c r="F47" s="63">
        <v>315.10000000000002</v>
      </c>
    </row>
    <row r="48" spans="1:6" ht="12.75" x14ac:dyDescent="0.2">
      <c r="A48" s="63">
        <v>900</v>
      </c>
      <c r="B48" s="63">
        <v>0.6</v>
      </c>
      <c r="C48" s="63">
        <v>3.99</v>
      </c>
      <c r="D48" s="63">
        <v>6.36</v>
      </c>
      <c r="E48" s="63">
        <v>59</v>
      </c>
      <c r="F48" s="63">
        <v>286</v>
      </c>
    </row>
    <row r="49" spans="1:6" ht="12.75" x14ac:dyDescent="0.2">
      <c r="A49" s="63">
        <v>1100</v>
      </c>
      <c r="B49" s="63">
        <v>0.62</v>
      </c>
      <c r="C49" s="65">
        <v>3.9</v>
      </c>
      <c r="D49" s="63">
        <v>1</v>
      </c>
      <c r="E49" s="63">
        <v>58</v>
      </c>
      <c r="F49" s="63">
        <v>290</v>
      </c>
    </row>
    <row r="50" spans="1:6" ht="12.75" x14ac:dyDescent="0.2">
      <c r="A50" s="63">
        <v>1300</v>
      </c>
      <c r="B50" s="63">
        <v>0.66</v>
      </c>
      <c r="C50" s="63">
        <v>3.72</v>
      </c>
      <c r="D50" s="63">
        <v>3.82</v>
      </c>
      <c r="E50" s="63">
        <v>67</v>
      </c>
      <c r="F50" s="63">
        <v>320</v>
      </c>
    </row>
    <row r="51" spans="1:6" ht="12.75" x14ac:dyDescent="0.2">
      <c r="A51" s="63">
        <v>1500</v>
      </c>
      <c r="B51" s="63">
        <v>0.89</v>
      </c>
      <c r="C51" s="63">
        <v>3.68</v>
      </c>
      <c r="D51" s="63">
        <v>3.21</v>
      </c>
      <c r="E51" s="63">
        <v>73</v>
      </c>
      <c r="F51" s="63">
        <v>345</v>
      </c>
    </row>
    <row r="52" spans="1:6" ht="12.75" x14ac:dyDescent="0.2">
      <c r="A52" s="63">
        <v>1600</v>
      </c>
      <c r="B52" s="63">
        <v>0.92</v>
      </c>
      <c r="C52" s="63">
        <v>3.62</v>
      </c>
      <c r="D52" s="63">
        <v>1.06</v>
      </c>
      <c r="E52" s="63">
        <v>75</v>
      </c>
      <c r="F52" s="63">
        <v>314</v>
      </c>
    </row>
    <row r="53" spans="1:6" ht="12.75" x14ac:dyDescent="0.2">
      <c r="A53" s="63">
        <v>900</v>
      </c>
      <c r="B53" s="63">
        <v>0.67300000000000004</v>
      </c>
      <c r="C53" s="65">
        <v>3.9</v>
      </c>
      <c r="D53" s="63">
        <v>1</v>
      </c>
      <c r="E53" s="63">
        <v>61.2</v>
      </c>
      <c r="F53" s="63">
        <v>243</v>
      </c>
    </row>
    <row r="54" spans="1:6" ht="12.75" x14ac:dyDescent="0.2">
      <c r="A54" s="63">
        <v>1100</v>
      </c>
      <c r="B54" s="63">
        <v>0.69899999999999995</v>
      </c>
      <c r="C54" s="65">
        <v>3.9</v>
      </c>
      <c r="D54" s="63">
        <v>1</v>
      </c>
      <c r="E54" s="63">
        <v>62.9</v>
      </c>
      <c r="F54" s="63">
        <v>289</v>
      </c>
    </row>
    <row r="55" spans="1:6" ht="12.75" x14ac:dyDescent="0.2">
      <c r="A55" s="63">
        <v>1300</v>
      </c>
      <c r="B55" s="63">
        <v>0.748</v>
      </c>
      <c r="C55" s="65">
        <v>3.9</v>
      </c>
      <c r="D55" s="63">
        <v>1.32</v>
      </c>
      <c r="E55" s="66">
        <v>64</v>
      </c>
      <c r="F55" s="63">
        <v>334</v>
      </c>
    </row>
    <row r="56" spans="1:6" ht="12.75" x14ac:dyDescent="0.2">
      <c r="A56" s="63">
        <v>1500</v>
      </c>
      <c r="B56" s="63">
        <v>0.78700000000000003</v>
      </c>
      <c r="C56" s="65">
        <v>3.7</v>
      </c>
      <c r="D56" s="63">
        <v>2.61</v>
      </c>
      <c r="E56" s="63">
        <v>66.099999999999994</v>
      </c>
      <c r="F56" s="63">
        <v>321</v>
      </c>
    </row>
    <row r="57" spans="1:6" ht="12.75" x14ac:dyDescent="0.2">
      <c r="A57" s="63">
        <v>1600</v>
      </c>
      <c r="B57" s="63">
        <v>0.85699999999999998</v>
      </c>
      <c r="C57" s="63">
        <v>3.61</v>
      </c>
      <c r="D57" s="63">
        <v>2.4</v>
      </c>
      <c r="E57" s="63">
        <v>67.3</v>
      </c>
      <c r="F57" s="63">
        <v>301</v>
      </c>
    </row>
    <row r="58" spans="1:6" ht="12.75" x14ac:dyDescent="0.2">
      <c r="A58" s="63">
        <v>800</v>
      </c>
      <c r="B58" s="63">
        <v>2.66</v>
      </c>
      <c r="C58" s="65">
        <v>4</v>
      </c>
      <c r="D58" s="63">
        <v>99</v>
      </c>
      <c r="E58" s="63">
        <v>66.2</v>
      </c>
      <c r="F58" s="63">
        <v>232</v>
      </c>
    </row>
    <row r="59" spans="1:6" ht="12.75" x14ac:dyDescent="0.2">
      <c r="A59" s="63">
        <v>1000</v>
      </c>
      <c r="B59" s="63">
        <v>2.4700000000000002</v>
      </c>
      <c r="C59" s="65">
        <v>4</v>
      </c>
      <c r="D59" s="63">
        <v>7.7</v>
      </c>
      <c r="E59" s="63">
        <v>77.900000000000006</v>
      </c>
      <c r="F59" s="63">
        <v>286</v>
      </c>
    </row>
    <row r="60" spans="1:6" ht="12.75" x14ac:dyDescent="0.2">
      <c r="A60" s="63">
        <v>1200</v>
      </c>
      <c r="B60" s="63">
        <v>2.23</v>
      </c>
      <c r="C60" s="63">
        <v>3.93</v>
      </c>
      <c r="D60" s="63">
        <v>3.9</v>
      </c>
      <c r="E60" s="63">
        <v>81.2</v>
      </c>
      <c r="F60" s="63">
        <v>296</v>
      </c>
    </row>
    <row r="61" spans="1:6" ht="12.75" x14ac:dyDescent="0.2">
      <c r="A61" s="63">
        <v>1300</v>
      </c>
      <c r="B61" s="63">
        <v>2.06</v>
      </c>
      <c r="C61" s="63">
        <v>3.88</v>
      </c>
      <c r="D61" s="63">
        <v>2.6</v>
      </c>
      <c r="E61" s="63">
        <v>83.9</v>
      </c>
      <c r="F61" s="63">
        <v>300</v>
      </c>
    </row>
    <row r="62" spans="1:6" ht="12.75" x14ac:dyDescent="0.2">
      <c r="A62" s="63">
        <v>800</v>
      </c>
      <c r="B62" s="63">
        <v>1.77</v>
      </c>
      <c r="C62" s="63">
        <v>3.91</v>
      </c>
      <c r="D62" s="63">
        <v>380</v>
      </c>
      <c r="E62" s="63">
        <v>76.900000000000006</v>
      </c>
      <c r="F62" s="63">
        <v>286</v>
      </c>
    </row>
    <row r="63" spans="1:6" ht="12.75" x14ac:dyDescent="0.2">
      <c r="A63" s="63">
        <v>1000</v>
      </c>
      <c r="B63" s="63">
        <v>1.78</v>
      </c>
      <c r="C63" s="65">
        <v>3.9</v>
      </c>
      <c r="D63" s="63">
        <v>270</v>
      </c>
      <c r="E63" s="63">
        <v>83.9</v>
      </c>
      <c r="F63" s="63">
        <v>299</v>
      </c>
    </row>
    <row r="64" spans="1:6" ht="12.75" x14ac:dyDescent="0.2">
      <c r="A64" s="63">
        <v>1200</v>
      </c>
      <c r="B64" s="63">
        <v>1.77</v>
      </c>
      <c r="C64" s="63">
        <v>3.93</v>
      </c>
      <c r="D64" s="63">
        <v>23</v>
      </c>
      <c r="E64" s="66">
        <v>79</v>
      </c>
      <c r="F64" s="63">
        <v>333</v>
      </c>
    </row>
    <row r="65" spans="1:6" ht="12.75" x14ac:dyDescent="0.2">
      <c r="A65" s="63">
        <v>1300</v>
      </c>
      <c r="B65" s="63">
        <v>1.76</v>
      </c>
      <c r="C65" s="63">
        <v>3.85</v>
      </c>
      <c r="D65" s="63">
        <v>24</v>
      </c>
      <c r="E65" s="63">
        <v>86.8</v>
      </c>
      <c r="F65" s="63">
        <v>312</v>
      </c>
    </row>
    <row r="66" spans="1:6" ht="12.6" customHeight="1" x14ac:dyDescent="0.2">
      <c r="A66" s="63">
        <v>1000</v>
      </c>
      <c r="B66" s="63">
        <v>2.74</v>
      </c>
      <c r="C66" s="63">
        <v>3.85</v>
      </c>
      <c r="D66" s="63">
        <v>196.3</v>
      </c>
      <c r="E66" s="63">
        <v>61</v>
      </c>
      <c r="F66" s="63">
        <v>245</v>
      </c>
    </row>
    <row r="67" spans="1:6" ht="12.75" x14ac:dyDescent="0.2">
      <c r="A67" s="63">
        <v>1200</v>
      </c>
      <c r="B67" s="63">
        <v>1.35</v>
      </c>
      <c r="C67" s="63">
        <v>3.84</v>
      </c>
      <c r="D67" s="63">
        <v>22.167999999999999</v>
      </c>
      <c r="E67" s="63">
        <v>88</v>
      </c>
      <c r="F67" s="63">
        <v>292.3</v>
      </c>
    </row>
    <row r="68" spans="1:6" ht="12.75" x14ac:dyDescent="0.2">
      <c r="A68" s="63">
        <v>800</v>
      </c>
      <c r="B68" s="63">
        <v>1.87</v>
      </c>
      <c r="C68" s="63">
        <v>3.91</v>
      </c>
      <c r="D68" s="63">
        <v>76.67</v>
      </c>
      <c r="E68" s="63">
        <v>59.8</v>
      </c>
      <c r="F68" s="66">
        <v>292</v>
      </c>
    </row>
    <row r="69" spans="1:6" ht="12.75" x14ac:dyDescent="0.2">
      <c r="A69" s="63">
        <v>900</v>
      </c>
      <c r="B69" s="63">
        <v>1.82</v>
      </c>
      <c r="C69" s="63">
        <v>3.87</v>
      </c>
      <c r="D69" s="63">
        <v>147.16</v>
      </c>
      <c r="E69" s="63">
        <v>63.1</v>
      </c>
      <c r="F69" s="63">
        <v>310.10000000000002</v>
      </c>
    </row>
    <row r="70" spans="1:6" ht="12.75" x14ac:dyDescent="0.2">
      <c r="A70" s="63">
        <v>1000</v>
      </c>
      <c r="B70" s="63">
        <v>1.69</v>
      </c>
      <c r="C70" s="63">
        <v>3.83</v>
      </c>
      <c r="D70" s="63">
        <v>253.46</v>
      </c>
      <c r="E70" s="63">
        <v>64.900000000000006</v>
      </c>
      <c r="F70" s="63">
        <v>337.9</v>
      </c>
    </row>
    <row r="71" spans="1:6" ht="12.75" x14ac:dyDescent="0.2">
      <c r="A71" s="63">
        <v>1100</v>
      </c>
      <c r="B71" s="63">
        <v>1.65</v>
      </c>
      <c r="C71" s="63">
        <v>3.8</v>
      </c>
      <c r="D71" s="63">
        <v>312.63</v>
      </c>
      <c r="E71" s="63">
        <v>62.2</v>
      </c>
      <c r="F71" s="63">
        <v>281.2</v>
      </c>
    </row>
    <row r="72" spans="1:6" ht="12.75" x14ac:dyDescent="0.2">
      <c r="A72" s="63">
        <v>1000</v>
      </c>
      <c r="B72" s="63">
        <v>1.05</v>
      </c>
      <c r="C72" s="63">
        <v>3.69</v>
      </c>
      <c r="D72" s="63">
        <v>1988.9</v>
      </c>
      <c r="E72" s="63">
        <v>37.299999999999997</v>
      </c>
      <c r="F72" s="63">
        <v>458.6</v>
      </c>
    </row>
    <row r="73" spans="1:6" ht="12.75" x14ac:dyDescent="0.2">
      <c r="A73" s="63">
        <v>900</v>
      </c>
      <c r="B73" s="63">
        <v>0.97</v>
      </c>
      <c r="C73" s="63">
        <v>4.07</v>
      </c>
      <c r="D73" s="63">
        <v>126.03</v>
      </c>
      <c r="E73" s="65">
        <v>59.1</v>
      </c>
      <c r="F73" s="63">
        <v>159.4</v>
      </c>
    </row>
    <row r="74" spans="1:6" ht="12.75" x14ac:dyDescent="0.2">
      <c r="A74" s="63">
        <v>1100</v>
      </c>
      <c r="B74" s="63">
        <v>0.96</v>
      </c>
      <c r="C74" s="63">
        <v>3.95</v>
      </c>
      <c r="D74" s="63">
        <v>89.79</v>
      </c>
      <c r="E74" s="63">
        <v>60.78</v>
      </c>
      <c r="F74" s="63">
        <v>304.3</v>
      </c>
    </row>
    <row r="75" spans="1:6" ht="12.75" x14ac:dyDescent="0.2">
      <c r="A75" s="63">
        <v>700</v>
      </c>
      <c r="B75" s="63">
        <v>0.88</v>
      </c>
      <c r="C75" s="63">
        <v>4.07</v>
      </c>
      <c r="D75" s="63">
        <v>465</v>
      </c>
      <c r="E75" s="63">
        <v>62</v>
      </c>
      <c r="F75" s="63">
        <v>248</v>
      </c>
    </row>
    <row r="76" spans="1:6" ht="12.75" x14ac:dyDescent="0.2">
      <c r="A76" s="63">
        <v>900</v>
      </c>
      <c r="B76" s="63">
        <v>1.03</v>
      </c>
      <c r="C76" s="63">
        <v>4.03</v>
      </c>
      <c r="D76" s="63">
        <v>323</v>
      </c>
      <c r="E76" s="63">
        <v>69</v>
      </c>
      <c r="F76" s="63">
        <v>298</v>
      </c>
    </row>
    <row r="77" spans="1:6" ht="12.75" x14ac:dyDescent="0.2">
      <c r="A77" s="63">
        <v>1100</v>
      </c>
      <c r="B77" s="63">
        <v>1.05</v>
      </c>
      <c r="C77" s="63">
        <v>4.07</v>
      </c>
      <c r="D77" s="63">
        <v>54.7</v>
      </c>
      <c r="E77" s="63">
        <v>74</v>
      </c>
      <c r="F77" s="63">
        <v>272</v>
      </c>
    </row>
    <row r="78" spans="1:6" ht="12.75" x14ac:dyDescent="0.2">
      <c r="A78" s="63">
        <v>1300</v>
      </c>
      <c r="B78" s="63">
        <v>1.1599999999999999</v>
      </c>
      <c r="C78" s="63">
        <v>4.03</v>
      </c>
      <c r="D78" s="63">
        <v>24.5</v>
      </c>
      <c r="E78" s="63">
        <v>82</v>
      </c>
      <c r="F78" s="63">
        <v>327</v>
      </c>
    </row>
    <row r="79" spans="1:6" ht="12.75" x14ac:dyDescent="0.2">
      <c r="A79" s="63">
        <v>1500</v>
      </c>
      <c r="B79" s="63">
        <v>1.19</v>
      </c>
      <c r="C79" s="63">
        <v>3.94</v>
      </c>
      <c r="D79" s="63">
        <v>26.4</v>
      </c>
      <c r="E79" s="63">
        <v>80</v>
      </c>
      <c r="F79" s="63">
        <v>315</v>
      </c>
    </row>
    <row r="80" spans="1:6" ht="12.75" x14ac:dyDescent="0.2">
      <c r="A80" s="63">
        <v>1800</v>
      </c>
      <c r="B80" s="63">
        <v>1.57</v>
      </c>
      <c r="C80" s="65">
        <v>3.7</v>
      </c>
      <c r="D80" s="63">
        <v>26.3</v>
      </c>
      <c r="E80" s="63">
        <v>82</v>
      </c>
      <c r="F80" s="63">
        <v>301</v>
      </c>
    </row>
    <row r="81" spans="1:6" ht="12.75" x14ac:dyDescent="0.2">
      <c r="A81" s="63">
        <v>2000</v>
      </c>
      <c r="B81" s="63">
        <v>1.66</v>
      </c>
      <c r="C81" s="63">
        <v>3.64</v>
      </c>
      <c r="D81" s="63">
        <v>10.1</v>
      </c>
      <c r="E81" s="63">
        <v>84</v>
      </c>
      <c r="F81" s="63">
        <v>282</v>
      </c>
    </row>
    <row r="82" spans="1:6" ht="12.75" x14ac:dyDescent="0.2">
      <c r="A82" s="63">
        <v>1300</v>
      </c>
      <c r="B82" s="63">
        <v>2.57</v>
      </c>
      <c r="C82" s="63">
        <v>3.85</v>
      </c>
      <c r="D82" s="63">
        <v>23.2</v>
      </c>
      <c r="E82" s="63">
        <v>81.2</v>
      </c>
      <c r="F82" s="63">
        <v>270</v>
      </c>
    </row>
    <row r="83" spans="1:6" ht="12.75" x14ac:dyDescent="0.2">
      <c r="A83" s="63">
        <v>1300</v>
      </c>
      <c r="B83" s="65">
        <v>2.7</v>
      </c>
      <c r="C83" s="65">
        <v>3.9</v>
      </c>
      <c r="D83" s="63">
        <v>18.600000000000001</v>
      </c>
      <c r="E83" s="63">
        <v>79.2</v>
      </c>
      <c r="F83" s="63">
        <v>311</v>
      </c>
    </row>
    <row r="84" spans="1:6" ht="12.75" x14ac:dyDescent="0.2">
      <c r="A84" s="63">
        <v>1300</v>
      </c>
      <c r="B84" s="63">
        <v>2.92</v>
      </c>
      <c r="C84" s="63">
        <v>3.94</v>
      </c>
      <c r="D84" s="63">
        <v>10.3</v>
      </c>
      <c r="E84" s="63">
        <v>85.6</v>
      </c>
      <c r="F84" s="63">
        <v>335</v>
      </c>
    </row>
    <row r="85" spans="1:6" ht="12.75" x14ac:dyDescent="0.2">
      <c r="A85" s="63">
        <v>1300</v>
      </c>
      <c r="B85" s="63">
        <v>2.83</v>
      </c>
      <c r="C85" s="63">
        <v>3.96</v>
      </c>
      <c r="D85" s="65">
        <v>7.55</v>
      </c>
      <c r="E85" s="63">
        <v>86.4</v>
      </c>
      <c r="F85" s="63">
        <v>350</v>
      </c>
    </row>
    <row r="86" spans="1:6" ht="12.75" x14ac:dyDescent="0.2">
      <c r="A86" s="63">
        <v>1900</v>
      </c>
      <c r="B86" s="63">
        <v>1.45</v>
      </c>
      <c r="C86" s="63">
        <v>3.6</v>
      </c>
      <c r="D86" s="63">
        <v>1.48</v>
      </c>
      <c r="E86" s="63">
        <v>80</v>
      </c>
      <c r="F86" s="63">
        <v>400</v>
      </c>
    </row>
    <row r="87" spans="1:6" ht="12.75" x14ac:dyDescent="0.2">
      <c r="A87" s="63">
        <v>1500</v>
      </c>
      <c r="B87" s="63">
        <v>1.1000000000000001</v>
      </c>
      <c r="C87" s="63">
        <v>0.39</v>
      </c>
      <c r="D87" s="63">
        <v>7.16</v>
      </c>
      <c r="E87" s="63">
        <v>62</v>
      </c>
      <c r="F87" s="63">
        <v>239</v>
      </c>
    </row>
    <row r="88" spans="1:6" ht="12.75" x14ac:dyDescent="0.2">
      <c r="A88" s="63">
        <v>1500</v>
      </c>
      <c r="B88" s="63">
        <v>1.23</v>
      </c>
      <c r="C88" s="63">
        <v>0.38</v>
      </c>
      <c r="D88" s="63">
        <v>9.52</v>
      </c>
      <c r="E88" s="63">
        <v>66</v>
      </c>
      <c r="F88" s="63">
        <v>337</v>
      </c>
    </row>
    <row r="89" spans="1:6" ht="12.75" x14ac:dyDescent="0.2">
      <c r="A89" s="63">
        <v>1500</v>
      </c>
      <c r="B89" s="63">
        <v>1.37</v>
      </c>
      <c r="C89" s="63">
        <v>0.38</v>
      </c>
      <c r="D89" s="63">
        <v>18.170000000000002</v>
      </c>
      <c r="E89" s="63">
        <v>53</v>
      </c>
      <c r="F89" s="63">
        <v>120</v>
      </c>
    </row>
    <row r="90" spans="1:6" ht="12.75" x14ac:dyDescent="0.2">
      <c r="E90" s="6"/>
    </row>
    <row r="91" spans="1:6" ht="12.75" x14ac:dyDescent="0.2">
      <c r="E91" s="6"/>
    </row>
    <row r="92" spans="1:6" ht="12.75" x14ac:dyDescent="0.2">
      <c r="E92" s="6"/>
    </row>
    <row r="93" spans="1:6" ht="12.75" x14ac:dyDescent="0.2">
      <c r="E93" s="6"/>
    </row>
    <row r="94" spans="1:6" ht="12.75" x14ac:dyDescent="0.2">
      <c r="E94" s="6"/>
    </row>
    <row r="95" spans="1:6" ht="12.75" x14ac:dyDescent="0.2">
      <c r="E95" s="6"/>
    </row>
    <row r="96" spans="1:6" ht="12.75" x14ac:dyDescent="0.2">
      <c r="E96" s="6"/>
    </row>
    <row r="97" spans="5:5" ht="12.75" x14ac:dyDescent="0.2">
      <c r="E97" s="6"/>
    </row>
    <row r="98" spans="5:5" ht="12.75" x14ac:dyDescent="0.2">
      <c r="E98" s="6"/>
    </row>
    <row r="99" spans="5:5" ht="12.75" x14ac:dyDescent="0.2">
      <c r="E99" s="6"/>
    </row>
    <row r="100" spans="5:5" ht="12.75" x14ac:dyDescent="0.2">
      <c r="E100" s="6"/>
    </row>
    <row r="101" spans="5:5" ht="12.75" x14ac:dyDescent="0.2">
      <c r="E101" s="6"/>
    </row>
    <row r="102" spans="5:5" ht="12.75" x14ac:dyDescent="0.2">
      <c r="E102" s="6"/>
    </row>
    <row r="103" spans="5:5" ht="12.75" x14ac:dyDescent="0.2">
      <c r="E103" s="6"/>
    </row>
    <row r="104" spans="5:5" ht="12.75" x14ac:dyDescent="0.2">
      <c r="E104" s="6"/>
    </row>
    <row r="105" spans="5:5" ht="12.75" x14ac:dyDescent="0.2">
      <c r="E105" s="6"/>
    </row>
    <row r="106" spans="5:5" ht="12.75" x14ac:dyDescent="0.2">
      <c r="E106" s="6"/>
    </row>
    <row r="107" spans="5:5" ht="12.75" x14ac:dyDescent="0.2">
      <c r="E107" s="6"/>
    </row>
    <row r="108" spans="5:5" ht="12.75" x14ac:dyDescent="0.2">
      <c r="E108" s="6"/>
    </row>
    <row r="109" spans="5:5" ht="12.75" x14ac:dyDescent="0.2">
      <c r="E109" s="6"/>
    </row>
    <row r="110" spans="5:5" ht="12.75" x14ac:dyDescent="0.2">
      <c r="E110" s="6"/>
    </row>
    <row r="111" spans="5:5" ht="12.75" x14ac:dyDescent="0.2">
      <c r="E111" s="6"/>
    </row>
    <row r="112" spans="5:5" ht="12.75" x14ac:dyDescent="0.2">
      <c r="E112" s="6"/>
    </row>
    <row r="113" spans="5:5" ht="12.75" x14ac:dyDescent="0.2">
      <c r="E113" s="6"/>
    </row>
    <row r="114" spans="5:5" ht="12.75" x14ac:dyDescent="0.2">
      <c r="E114" s="6"/>
    </row>
    <row r="115" spans="5:5" ht="12.75" x14ac:dyDescent="0.2">
      <c r="E115" s="6"/>
    </row>
    <row r="116" spans="5:5" ht="12.75" x14ac:dyDescent="0.2">
      <c r="E116" s="6"/>
    </row>
    <row r="117" spans="5:5" ht="12.75" x14ac:dyDescent="0.2">
      <c r="E117" s="6"/>
    </row>
    <row r="118" spans="5:5" ht="12.75" x14ac:dyDescent="0.2">
      <c r="E118" s="6"/>
    </row>
    <row r="119" spans="5:5" ht="12.75" x14ac:dyDescent="0.2">
      <c r="E119" s="6"/>
    </row>
    <row r="120" spans="5:5" ht="12.75" x14ac:dyDescent="0.2">
      <c r="E120" s="6"/>
    </row>
    <row r="121" spans="5:5" ht="12.75" x14ac:dyDescent="0.2">
      <c r="E121" s="6"/>
    </row>
    <row r="122" spans="5:5" ht="12.75" x14ac:dyDescent="0.2">
      <c r="E122" s="6"/>
    </row>
    <row r="123" spans="5:5" ht="12.75" x14ac:dyDescent="0.2">
      <c r="E123" s="6"/>
    </row>
    <row r="124" spans="5:5" ht="12.75" x14ac:dyDescent="0.2">
      <c r="E124" s="6"/>
    </row>
    <row r="125" spans="5:5" ht="12.75" x14ac:dyDescent="0.2">
      <c r="E125" s="6"/>
    </row>
    <row r="126" spans="5:5" ht="12.75" x14ac:dyDescent="0.2">
      <c r="E126" s="6"/>
    </row>
    <row r="127" spans="5:5" ht="12.75" x14ac:dyDescent="0.2">
      <c r="E127" s="6"/>
    </row>
    <row r="128" spans="5:5" ht="12.75" x14ac:dyDescent="0.2">
      <c r="E128" s="6"/>
    </row>
    <row r="129" spans="5:5" ht="12.75" x14ac:dyDescent="0.2">
      <c r="E129" s="6"/>
    </row>
    <row r="130" spans="5:5" ht="12.75" x14ac:dyDescent="0.2">
      <c r="E130" s="6"/>
    </row>
    <row r="131" spans="5:5" ht="12.75" x14ac:dyDescent="0.2">
      <c r="E131" s="6"/>
    </row>
    <row r="132" spans="5:5" ht="12.75" x14ac:dyDescent="0.2">
      <c r="E132" s="6"/>
    </row>
    <row r="133" spans="5:5" ht="12.75" x14ac:dyDescent="0.2">
      <c r="E133" s="6"/>
    </row>
    <row r="134" spans="5:5" ht="12.75" x14ac:dyDescent="0.2">
      <c r="E134" s="6"/>
    </row>
    <row r="135" spans="5:5" ht="12.75" x14ac:dyDescent="0.2">
      <c r="E135" s="6"/>
    </row>
    <row r="136" spans="5:5" ht="12.75" x14ac:dyDescent="0.2">
      <c r="E136" s="6"/>
    </row>
    <row r="137" spans="5:5" ht="12.75" x14ac:dyDescent="0.2">
      <c r="E137" s="6"/>
    </row>
    <row r="138" spans="5:5" ht="12.75" x14ac:dyDescent="0.2">
      <c r="E138" s="6"/>
    </row>
    <row r="139" spans="5:5" ht="12.75" x14ac:dyDescent="0.2">
      <c r="E139" s="6"/>
    </row>
    <row r="140" spans="5:5" ht="12.75" x14ac:dyDescent="0.2">
      <c r="E140" s="6"/>
    </row>
    <row r="141" spans="5:5" ht="12.75" x14ac:dyDescent="0.2">
      <c r="E141" s="6"/>
    </row>
    <row r="142" spans="5:5" ht="12.75" x14ac:dyDescent="0.2">
      <c r="E142" s="6"/>
    </row>
    <row r="143" spans="5:5" ht="12.75" x14ac:dyDescent="0.2">
      <c r="E143" s="6"/>
    </row>
    <row r="144" spans="5:5" ht="12.75" x14ac:dyDescent="0.2">
      <c r="E144" s="6"/>
    </row>
    <row r="145" spans="5:5" ht="12.75" x14ac:dyDescent="0.2">
      <c r="E145" s="6"/>
    </row>
    <row r="146" spans="5:5" ht="12.75" x14ac:dyDescent="0.2">
      <c r="E146" s="6"/>
    </row>
    <row r="147" spans="5:5" ht="12.75" x14ac:dyDescent="0.2">
      <c r="E147" s="6"/>
    </row>
    <row r="148" spans="5:5" ht="12.75" x14ac:dyDescent="0.2">
      <c r="E148" s="6"/>
    </row>
    <row r="149" spans="5:5" ht="12.75" x14ac:dyDescent="0.2">
      <c r="E149" s="6"/>
    </row>
    <row r="150" spans="5:5" ht="12.75" x14ac:dyDescent="0.2">
      <c r="E150" s="6"/>
    </row>
    <row r="151" spans="5:5" ht="12.75" x14ac:dyDescent="0.2">
      <c r="E151" s="6"/>
    </row>
    <row r="152" spans="5:5" ht="12.75" x14ac:dyDescent="0.2">
      <c r="E152" s="6"/>
    </row>
    <row r="153" spans="5:5" ht="12.75" x14ac:dyDescent="0.2">
      <c r="E153" s="6"/>
    </row>
    <row r="154" spans="5:5" ht="12.75" x14ac:dyDescent="0.2">
      <c r="E154" s="6"/>
    </row>
    <row r="155" spans="5:5" ht="12.75" x14ac:dyDescent="0.2">
      <c r="E155" s="6"/>
    </row>
    <row r="156" spans="5:5" ht="12.75" x14ac:dyDescent="0.2">
      <c r="E156" s="6"/>
    </row>
    <row r="157" spans="5:5" ht="12.75" x14ac:dyDescent="0.2">
      <c r="E157" s="6"/>
    </row>
    <row r="158" spans="5:5" ht="12.75" x14ac:dyDescent="0.2">
      <c r="E158" s="6"/>
    </row>
    <row r="159" spans="5:5" ht="12.75" x14ac:dyDescent="0.2">
      <c r="E159" s="6"/>
    </row>
    <row r="160" spans="5:5" ht="12.75" x14ac:dyDescent="0.2">
      <c r="E160" s="6"/>
    </row>
    <row r="161" spans="5:5" ht="12.75" x14ac:dyDescent="0.2">
      <c r="E161" s="6"/>
    </row>
    <row r="162" spans="5:5" ht="12.75" x14ac:dyDescent="0.2">
      <c r="E162" s="6"/>
    </row>
    <row r="163" spans="5:5" ht="12.75" x14ac:dyDescent="0.2">
      <c r="E163" s="6"/>
    </row>
    <row r="164" spans="5:5" ht="12.75" x14ac:dyDescent="0.2">
      <c r="E164" s="6"/>
    </row>
    <row r="165" spans="5:5" ht="12.75" x14ac:dyDescent="0.2">
      <c r="E165" s="6"/>
    </row>
    <row r="166" spans="5:5" ht="12.75" x14ac:dyDescent="0.2">
      <c r="E166" s="6"/>
    </row>
    <row r="167" spans="5:5" ht="12.75" x14ac:dyDescent="0.2">
      <c r="E167" s="6"/>
    </row>
    <row r="168" spans="5:5" ht="12.75" x14ac:dyDescent="0.2">
      <c r="E168" s="6"/>
    </row>
    <row r="169" spans="5:5" ht="12.75" x14ac:dyDescent="0.2">
      <c r="E169" s="6"/>
    </row>
    <row r="170" spans="5:5" ht="12.75" x14ac:dyDescent="0.2">
      <c r="E170" s="6"/>
    </row>
    <row r="171" spans="5:5" ht="12.75" x14ac:dyDescent="0.2">
      <c r="E171" s="6"/>
    </row>
    <row r="172" spans="5:5" ht="12.75" x14ac:dyDescent="0.2">
      <c r="E172" s="6"/>
    </row>
    <row r="173" spans="5:5" ht="12.75" x14ac:dyDescent="0.2">
      <c r="E173" s="6"/>
    </row>
    <row r="174" spans="5:5" ht="12.75" x14ac:dyDescent="0.2">
      <c r="E174" s="6"/>
    </row>
    <row r="175" spans="5:5" ht="12.75" x14ac:dyDescent="0.2">
      <c r="E175" s="6"/>
    </row>
    <row r="176" spans="5:5" ht="12.75" x14ac:dyDescent="0.2">
      <c r="E176" s="6"/>
    </row>
    <row r="177" spans="5:5" ht="12.75" x14ac:dyDescent="0.2">
      <c r="E177" s="6"/>
    </row>
    <row r="178" spans="5:5" ht="12.75" x14ac:dyDescent="0.2">
      <c r="E178" s="6"/>
    </row>
    <row r="179" spans="5:5" ht="12.75" x14ac:dyDescent="0.2">
      <c r="E179" s="6"/>
    </row>
    <row r="180" spans="5:5" ht="12.75" x14ac:dyDescent="0.2">
      <c r="E180" s="6"/>
    </row>
    <row r="181" spans="5:5" ht="12.75" x14ac:dyDescent="0.2">
      <c r="E181" s="6"/>
    </row>
    <row r="182" spans="5:5" ht="12.75" x14ac:dyDescent="0.2">
      <c r="E182" s="6"/>
    </row>
    <row r="183" spans="5:5" ht="12.75" x14ac:dyDescent="0.2">
      <c r="E183" s="6"/>
    </row>
    <row r="184" spans="5:5" ht="12.75" x14ac:dyDescent="0.2">
      <c r="E184" s="6"/>
    </row>
    <row r="185" spans="5:5" ht="12.75" x14ac:dyDescent="0.2">
      <c r="E185" s="6"/>
    </row>
    <row r="186" spans="5:5" ht="12.75" x14ac:dyDescent="0.2">
      <c r="E186" s="6"/>
    </row>
    <row r="187" spans="5:5" ht="12.75" x14ac:dyDescent="0.2">
      <c r="E187" s="6"/>
    </row>
    <row r="188" spans="5:5" ht="12.75" x14ac:dyDescent="0.2">
      <c r="E188" s="6"/>
    </row>
    <row r="189" spans="5:5" ht="12.75" x14ac:dyDescent="0.2">
      <c r="E189" s="6"/>
    </row>
    <row r="190" spans="5:5" ht="12.75" x14ac:dyDescent="0.2">
      <c r="E190" s="6"/>
    </row>
    <row r="191" spans="5:5" ht="12.75" x14ac:dyDescent="0.2">
      <c r="E191" s="6"/>
    </row>
    <row r="192" spans="5:5" ht="12.75" x14ac:dyDescent="0.2">
      <c r="E192" s="6"/>
    </row>
    <row r="193" spans="5:5" ht="12.75" x14ac:dyDescent="0.2">
      <c r="E193" s="6"/>
    </row>
    <row r="194" spans="5:5" ht="12.75" x14ac:dyDescent="0.2">
      <c r="E194" s="6"/>
    </row>
    <row r="195" spans="5:5" ht="12.75" x14ac:dyDescent="0.2">
      <c r="E195" s="6"/>
    </row>
    <row r="196" spans="5:5" ht="12.75" x14ac:dyDescent="0.2">
      <c r="E196" s="6"/>
    </row>
    <row r="197" spans="5:5" ht="12.75" x14ac:dyDescent="0.2">
      <c r="E197" s="6"/>
    </row>
    <row r="198" spans="5:5" ht="12.75" x14ac:dyDescent="0.2">
      <c r="E198" s="6"/>
    </row>
    <row r="199" spans="5:5" ht="12.75" x14ac:dyDescent="0.2">
      <c r="E199" s="6"/>
    </row>
    <row r="200" spans="5:5" ht="12.75" x14ac:dyDescent="0.2">
      <c r="E200" s="6"/>
    </row>
    <row r="201" spans="5:5" ht="12.75" x14ac:dyDescent="0.2">
      <c r="E201" s="6"/>
    </row>
    <row r="202" spans="5:5" ht="12.75" x14ac:dyDescent="0.2">
      <c r="E202" s="6"/>
    </row>
    <row r="203" spans="5:5" ht="12.75" x14ac:dyDescent="0.2">
      <c r="E203" s="6"/>
    </row>
    <row r="204" spans="5:5" ht="12.75" x14ac:dyDescent="0.2">
      <c r="E204" s="6"/>
    </row>
    <row r="205" spans="5:5" ht="12.75" x14ac:dyDescent="0.2">
      <c r="E205" s="6"/>
    </row>
    <row r="206" spans="5:5" ht="12.75" x14ac:dyDescent="0.2">
      <c r="E206" s="6"/>
    </row>
    <row r="207" spans="5:5" ht="12.75" x14ac:dyDescent="0.2">
      <c r="E207" s="6"/>
    </row>
    <row r="208" spans="5:5" ht="12.75" x14ac:dyDescent="0.2">
      <c r="E208" s="6"/>
    </row>
    <row r="209" spans="5:5" ht="12.75" x14ac:dyDescent="0.2">
      <c r="E209" s="6"/>
    </row>
    <row r="210" spans="5:5" ht="12.75" x14ac:dyDescent="0.2">
      <c r="E210" s="6"/>
    </row>
    <row r="211" spans="5:5" ht="12.75" x14ac:dyDescent="0.2">
      <c r="E211" s="6"/>
    </row>
    <row r="212" spans="5:5" ht="12.75" x14ac:dyDescent="0.2">
      <c r="E212" s="6"/>
    </row>
    <row r="213" spans="5:5" ht="12.75" x14ac:dyDescent="0.2">
      <c r="E213" s="6"/>
    </row>
    <row r="214" spans="5:5" ht="12.75" x14ac:dyDescent="0.2">
      <c r="E214" s="6"/>
    </row>
    <row r="215" spans="5:5" ht="12.75" x14ac:dyDescent="0.2">
      <c r="E215" s="6"/>
    </row>
    <row r="216" spans="5:5" ht="12.75" x14ac:dyDescent="0.2">
      <c r="E216" s="6"/>
    </row>
    <row r="217" spans="5:5" ht="12.75" x14ac:dyDescent="0.2">
      <c r="E217" s="6"/>
    </row>
    <row r="218" spans="5:5" ht="12.75" x14ac:dyDescent="0.2">
      <c r="E218" s="6"/>
    </row>
    <row r="219" spans="5:5" ht="12.75" x14ac:dyDescent="0.2">
      <c r="E219" s="6"/>
    </row>
    <row r="220" spans="5:5" ht="12.75" x14ac:dyDescent="0.2">
      <c r="E220" s="6"/>
    </row>
    <row r="221" spans="5:5" ht="12.75" x14ac:dyDescent="0.2">
      <c r="E221" s="6"/>
    </row>
    <row r="222" spans="5:5" ht="12.75" x14ac:dyDescent="0.2">
      <c r="E222" s="6"/>
    </row>
    <row r="223" spans="5:5" ht="12.75" x14ac:dyDescent="0.2">
      <c r="E223" s="6"/>
    </row>
    <row r="224" spans="5:5" ht="12.75" x14ac:dyDescent="0.2">
      <c r="E224" s="6"/>
    </row>
    <row r="225" spans="5:5" ht="12.75" x14ac:dyDescent="0.2">
      <c r="E225" s="6"/>
    </row>
    <row r="226" spans="5:5" ht="12.75" x14ac:dyDescent="0.2">
      <c r="E226" s="6"/>
    </row>
    <row r="227" spans="5:5" ht="12.75" x14ac:dyDescent="0.2">
      <c r="E227" s="6"/>
    </row>
    <row r="228" spans="5:5" ht="12.75" x14ac:dyDescent="0.2">
      <c r="E228" s="6"/>
    </row>
    <row r="229" spans="5:5" ht="12.75" x14ac:dyDescent="0.2">
      <c r="E229" s="6"/>
    </row>
    <row r="230" spans="5:5" ht="12.75" x14ac:dyDescent="0.2">
      <c r="E230" s="6"/>
    </row>
    <row r="231" spans="5:5" ht="12.75" x14ac:dyDescent="0.2">
      <c r="E231" s="6"/>
    </row>
    <row r="232" spans="5:5" ht="12.75" x14ac:dyDescent="0.2">
      <c r="E232" s="6"/>
    </row>
    <row r="233" spans="5:5" ht="12.75" x14ac:dyDescent="0.2">
      <c r="E233" s="6"/>
    </row>
    <row r="234" spans="5:5" ht="12.75" x14ac:dyDescent="0.2">
      <c r="E234" s="6"/>
    </row>
    <row r="235" spans="5:5" ht="12.75" x14ac:dyDescent="0.2">
      <c r="E235" s="6"/>
    </row>
    <row r="236" spans="5:5" ht="12.75" x14ac:dyDescent="0.2">
      <c r="E236" s="6"/>
    </row>
    <row r="237" spans="5:5" ht="12.75" x14ac:dyDescent="0.2">
      <c r="E237" s="6"/>
    </row>
    <row r="238" spans="5:5" ht="12.75" x14ac:dyDescent="0.2">
      <c r="E238" s="6"/>
    </row>
    <row r="239" spans="5:5" ht="12.75" x14ac:dyDescent="0.2">
      <c r="E239" s="6"/>
    </row>
    <row r="240" spans="5:5" ht="12.75" x14ac:dyDescent="0.2">
      <c r="E240" s="6"/>
    </row>
    <row r="241" spans="5:5" ht="12.75" x14ac:dyDescent="0.2">
      <c r="E241" s="6"/>
    </row>
    <row r="242" spans="5:5" ht="12.75" x14ac:dyDescent="0.2">
      <c r="E242" s="6"/>
    </row>
    <row r="243" spans="5:5" ht="12.75" x14ac:dyDescent="0.2">
      <c r="E243" s="6"/>
    </row>
    <row r="244" spans="5:5" ht="12.75" x14ac:dyDescent="0.2">
      <c r="E244" s="6"/>
    </row>
    <row r="245" spans="5:5" ht="12.75" x14ac:dyDescent="0.2">
      <c r="E245" s="6"/>
    </row>
    <row r="246" spans="5:5" ht="12.75" x14ac:dyDescent="0.2">
      <c r="E246" s="6"/>
    </row>
    <row r="247" spans="5:5" ht="12.75" x14ac:dyDescent="0.2">
      <c r="E247" s="6"/>
    </row>
    <row r="248" spans="5:5" ht="12.75" x14ac:dyDescent="0.2">
      <c r="E248" s="6"/>
    </row>
    <row r="249" spans="5:5" ht="12.75" x14ac:dyDescent="0.2">
      <c r="E249" s="6"/>
    </row>
    <row r="250" spans="5:5" ht="12.75" x14ac:dyDescent="0.2">
      <c r="E250" s="6"/>
    </row>
    <row r="251" spans="5:5" ht="12.75" x14ac:dyDescent="0.2">
      <c r="E251" s="6"/>
    </row>
    <row r="252" spans="5:5" ht="12.75" x14ac:dyDescent="0.2">
      <c r="E252" s="6"/>
    </row>
    <row r="253" spans="5:5" ht="12.75" x14ac:dyDescent="0.2">
      <c r="E253" s="6"/>
    </row>
    <row r="254" spans="5:5" ht="12.75" x14ac:dyDescent="0.2">
      <c r="E254" s="6"/>
    </row>
    <row r="255" spans="5:5" ht="12.75" x14ac:dyDescent="0.2">
      <c r="E255" s="6"/>
    </row>
    <row r="256" spans="5:5" ht="12.75" x14ac:dyDescent="0.2">
      <c r="E256" s="6"/>
    </row>
    <row r="257" spans="5:5" ht="12.75" x14ac:dyDescent="0.2">
      <c r="E257" s="6"/>
    </row>
    <row r="258" spans="5:5" ht="12.75" x14ac:dyDescent="0.2">
      <c r="E258" s="6"/>
    </row>
    <row r="259" spans="5:5" ht="12.75" x14ac:dyDescent="0.2">
      <c r="E259" s="6"/>
    </row>
    <row r="260" spans="5:5" ht="12.75" x14ac:dyDescent="0.2">
      <c r="E260" s="6"/>
    </row>
    <row r="261" spans="5:5" ht="12.75" x14ac:dyDescent="0.2">
      <c r="E261" s="6"/>
    </row>
    <row r="262" spans="5:5" ht="12.75" x14ac:dyDescent="0.2">
      <c r="E262" s="6"/>
    </row>
    <row r="263" spans="5:5" ht="12.75" x14ac:dyDescent="0.2">
      <c r="E263" s="6"/>
    </row>
    <row r="264" spans="5:5" ht="12.75" x14ac:dyDescent="0.2">
      <c r="E264" s="6"/>
    </row>
    <row r="265" spans="5:5" ht="12.75" x14ac:dyDescent="0.2">
      <c r="E265" s="6"/>
    </row>
    <row r="266" spans="5:5" ht="12.75" x14ac:dyDescent="0.2">
      <c r="E266" s="6"/>
    </row>
    <row r="267" spans="5:5" ht="12.75" x14ac:dyDescent="0.2">
      <c r="E267" s="6"/>
    </row>
    <row r="268" spans="5:5" ht="12.75" x14ac:dyDescent="0.2">
      <c r="E268" s="6"/>
    </row>
    <row r="269" spans="5:5" ht="12.75" x14ac:dyDescent="0.2">
      <c r="E269" s="6"/>
    </row>
    <row r="270" spans="5:5" ht="12.75" x14ac:dyDescent="0.2">
      <c r="E270" s="6"/>
    </row>
    <row r="271" spans="5:5" ht="12.75" x14ac:dyDescent="0.2">
      <c r="E271" s="6"/>
    </row>
    <row r="272" spans="5:5" ht="12.75" x14ac:dyDescent="0.2">
      <c r="E272" s="6"/>
    </row>
    <row r="273" spans="5:5" ht="12.75" x14ac:dyDescent="0.2">
      <c r="E273" s="6"/>
    </row>
    <row r="274" spans="5:5" ht="12.75" x14ac:dyDescent="0.2">
      <c r="E274" s="6"/>
    </row>
    <row r="275" spans="5:5" ht="12.75" x14ac:dyDescent="0.2">
      <c r="E275" s="6"/>
    </row>
    <row r="276" spans="5:5" ht="12.75" x14ac:dyDescent="0.2">
      <c r="E276" s="6"/>
    </row>
    <row r="277" spans="5:5" ht="12.75" x14ac:dyDescent="0.2">
      <c r="E277" s="6"/>
    </row>
    <row r="278" spans="5:5" ht="12.75" x14ac:dyDescent="0.2">
      <c r="E278" s="6"/>
    </row>
    <row r="279" spans="5:5" ht="12.75" x14ac:dyDescent="0.2">
      <c r="E279" s="6"/>
    </row>
    <row r="280" spans="5:5" ht="12.75" x14ac:dyDescent="0.2">
      <c r="E280" s="6"/>
    </row>
    <row r="281" spans="5:5" ht="12.75" x14ac:dyDescent="0.2">
      <c r="E281" s="6"/>
    </row>
    <row r="282" spans="5:5" ht="12.75" x14ac:dyDescent="0.2">
      <c r="E282" s="6"/>
    </row>
    <row r="283" spans="5:5" ht="12.75" x14ac:dyDescent="0.2">
      <c r="E283" s="6"/>
    </row>
    <row r="284" spans="5:5" ht="12.75" x14ac:dyDescent="0.2">
      <c r="E284" s="6"/>
    </row>
    <row r="285" spans="5:5" ht="12.75" x14ac:dyDescent="0.2">
      <c r="E285" s="6"/>
    </row>
    <row r="286" spans="5:5" ht="12.75" x14ac:dyDescent="0.2">
      <c r="E286" s="6"/>
    </row>
    <row r="287" spans="5:5" ht="12.75" x14ac:dyDescent="0.2">
      <c r="E287" s="6"/>
    </row>
    <row r="288" spans="5:5" ht="12.75" x14ac:dyDescent="0.2">
      <c r="E288" s="6"/>
    </row>
    <row r="289" spans="5:5" ht="12.75" x14ac:dyDescent="0.2">
      <c r="E289" s="6"/>
    </row>
    <row r="290" spans="5:5" ht="12.75" x14ac:dyDescent="0.2">
      <c r="E290" s="6"/>
    </row>
    <row r="291" spans="5:5" ht="12.75" x14ac:dyDescent="0.2">
      <c r="E291" s="6"/>
    </row>
    <row r="292" spans="5:5" ht="12.75" x14ac:dyDescent="0.2">
      <c r="E292" s="6"/>
    </row>
    <row r="293" spans="5:5" ht="12.75" x14ac:dyDescent="0.2">
      <c r="E293" s="6"/>
    </row>
    <row r="294" spans="5:5" ht="12.75" x14ac:dyDescent="0.2">
      <c r="E294" s="6"/>
    </row>
    <row r="295" spans="5:5" ht="12.75" x14ac:dyDescent="0.2">
      <c r="E295" s="6"/>
    </row>
    <row r="296" spans="5:5" ht="12.75" x14ac:dyDescent="0.2">
      <c r="E296" s="6"/>
    </row>
    <row r="297" spans="5:5" ht="12.75" x14ac:dyDescent="0.2">
      <c r="E297" s="6"/>
    </row>
    <row r="298" spans="5:5" ht="12.75" x14ac:dyDescent="0.2">
      <c r="E298" s="6"/>
    </row>
    <row r="299" spans="5:5" ht="12.75" x14ac:dyDescent="0.2">
      <c r="E299" s="6"/>
    </row>
    <row r="300" spans="5:5" ht="12.75" x14ac:dyDescent="0.2">
      <c r="E300" s="6"/>
    </row>
    <row r="301" spans="5:5" ht="12.75" x14ac:dyDescent="0.2">
      <c r="E301" s="6"/>
    </row>
    <row r="302" spans="5:5" ht="12.75" x14ac:dyDescent="0.2">
      <c r="E302" s="6"/>
    </row>
    <row r="303" spans="5:5" ht="12.75" x14ac:dyDescent="0.2">
      <c r="E303" s="6"/>
    </row>
    <row r="304" spans="5:5" ht="12.75" x14ac:dyDescent="0.2">
      <c r="E304" s="6"/>
    </row>
    <row r="305" spans="5:5" ht="12.75" x14ac:dyDescent="0.2">
      <c r="E305" s="6"/>
    </row>
    <row r="306" spans="5:5" ht="12.75" x14ac:dyDescent="0.2">
      <c r="E306" s="6"/>
    </row>
    <row r="307" spans="5:5" ht="12.75" x14ac:dyDescent="0.2">
      <c r="E307" s="6"/>
    </row>
    <row r="308" spans="5:5" ht="12.75" x14ac:dyDescent="0.2">
      <c r="E308" s="6"/>
    </row>
    <row r="309" spans="5:5" ht="12.75" x14ac:dyDescent="0.2">
      <c r="E309" s="6"/>
    </row>
    <row r="310" spans="5:5" ht="12.75" x14ac:dyDescent="0.2">
      <c r="E310" s="6"/>
    </row>
    <row r="311" spans="5:5" ht="12.75" x14ac:dyDescent="0.2">
      <c r="E311" s="6"/>
    </row>
    <row r="312" spans="5:5" ht="12.75" x14ac:dyDescent="0.2">
      <c r="E312" s="6"/>
    </row>
    <row r="313" spans="5:5" ht="12.75" x14ac:dyDescent="0.2">
      <c r="E313" s="6"/>
    </row>
    <row r="314" spans="5:5" ht="12.75" x14ac:dyDescent="0.2">
      <c r="E314" s="6"/>
    </row>
    <row r="315" spans="5:5" ht="12.75" x14ac:dyDescent="0.2">
      <c r="E315" s="6"/>
    </row>
    <row r="316" spans="5:5" ht="12.75" x14ac:dyDescent="0.2">
      <c r="E316" s="6"/>
    </row>
    <row r="317" spans="5:5" ht="12.75" x14ac:dyDescent="0.2">
      <c r="E317" s="6"/>
    </row>
    <row r="318" spans="5:5" ht="12.75" x14ac:dyDescent="0.2">
      <c r="E318" s="6"/>
    </row>
    <row r="319" spans="5:5" ht="12.75" x14ac:dyDescent="0.2">
      <c r="E319" s="6"/>
    </row>
    <row r="320" spans="5:5" ht="12.75" x14ac:dyDescent="0.2">
      <c r="E320" s="6"/>
    </row>
    <row r="321" spans="5:5" ht="12.75" x14ac:dyDescent="0.2">
      <c r="E321" s="6"/>
    </row>
    <row r="322" spans="5:5" ht="12.75" x14ac:dyDescent="0.2">
      <c r="E322" s="6"/>
    </row>
    <row r="323" spans="5:5" ht="12.75" x14ac:dyDescent="0.2">
      <c r="E323" s="6"/>
    </row>
    <row r="324" spans="5:5" ht="12.75" x14ac:dyDescent="0.2">
      <c r="E324" s="6"/>
    </row>
    <row r="325" spans="5:5" ht="12.75" x14ac:dyDescent="0.2">
      <c r="E325" s="6"/>
    </row>
    <row r="326" spans="5:5" ht="12.75" x14ac:dyDescent="0.2">
      <c r="E326" s="6"/>
    </row>
    <row r="327" spans="5:5" ht="12.75" x14ac:dyDescent="0.2">
      <c r="E327" s="6"/>
    </row>
    <row r="328" spans="5:5" ht="12.75" x14ac:dyDescent="0.2">
      <c r="E328" s="6"/>
    </row>
    <row r="329" spans="5:5" ht="12.75" x14ac:dyDescent="0.2">
      <c r="E329" s="6"/>
    </row>
    <row r="330" spans="5:5" ht="12.75" x14ac:dyDescent="0.2">
      <c r="E330" s="6"/>
    </row>
    <row r="331" spans="5:5" ht="12.75" x14ac:dyDescent="0.2">
      <c r="E331" s="6"/>
    </row>
    <row r="332" spans="5:5" ht="12.75" x14ac:dyDescent="0.2">
      <c r="E332" s="6"/>
    </row>
    <row r="333" spans="5:5" ht="12.75" x14ac:dyDescent="0.2">
      <c r="E333" s="6"/>
    </row>
    <row r="334" spans="5:5" ht="12.75" x14ac:dyDescent="0.2">
      <c r="E334" s="6"/>
    </row>
    <row r="335" spans="5:5" ht="12.75" x14ac:dyDescent="0.2">
      <c r="E335" s="6"/>
    </row>
    <row r="336" spans="5:5" ht="12.75" x14ac:dyDescent="0.2">
      <c r="E336" s="6"/>
    </row>
    <row r="337" spans="5:5" ht="12.75" x14ac:dyDescent="0.2">
      <c r="E337" s="6"/>
    </row>
    <row r="338" spans="5:5" ht="12.75" x14ac:dyDescent="0.2">
      <c r="E338" s="6"/>
    </row>
    <row r="339" spans="5:5" ht="12.75" x14ac:dyDescent="0.2">
      <c r="E339" s="6"/>
    </row>
    <row r="340" spans="5:5" ht="12.75" x14ac:dyDescent="0.2">
      <c r="E340" s="6"/>
    </row>
    <row r="341" spans="5:5" ht="12.75" x14ac:dyDescent="0.2">
      <c r="E341" s="6"/>
    </row>
    <row r="342" spans="5:5" ht="12.75" x14ac:dyDescent="0.2">
      <c r="E342" s="6"/>
    </row>
    <row r="343" spans="5:5" ht="12.75" x14ac:dyDescent="0.2">
      <c r="E343" s="6"/>
    </row>
    <row r="344" spans="5:5" ht="12.75" x14ac:dyDescent="0.2">
      <c r="E344" s="6"/>
    </row>
    <row r="345" spans="5:5" ht="12.75" x14ac:dyDescent="0.2">
      <c r="E345" s="6"/>
    </row>
    <row r="346" spans="5:5" ht="12.75" x14ac:dyDescent="0.2">
      <c r="E346" s="6"/>
    </row>
    <row r="347" spans="5:5" ht="12.75" x14ac:dyDescent="0.2">
      <c r="E347" s="6"/>
    </row>
    <row r="348" spans="5:5" ht="12.75" x14ac:dyDescent="0.2">
      <c r="E348" s="6"/>
    </row>
    <row r="349" spans="5:5" ht="12.75" x14ac:dyDescent="0.2">
      <c r="E349" s="6"/>
    </row>
    <row r="350" spans="5:5" ht="12.75" x14ac:dyDescent="0.2">
      <c r="E350" s="6"/>
    </row>
    <row r="351" spans="5:5" ht="12.75" x14ac:dyDescent="0.2">
      <c r="E351" s="6"/>
    </row>
    <row r="352" spans="5:5" ht="12.75" x14ac:dyDescent="0.2">
      <c r="E352" s="6"/>
    </row>
    <row r="353" spans="5:5" ht="12.75" x14ac:dyDescent="0.2">
      <c r="E353" s="6"/>
    </row>
    <row r="354" spans="5:5" ht="12.75" x14ac:dyDescent="0.2">
      <c r="E354" s="6"/>
    </row>
    <row r="355" spans="5:5" ht="12.75" x14ac:dyDescent="0.2">
      <c r="E355" s="6"/>
    </row>
    <row r="356" spans="5:5" ht="12.75" x14ac:dyDescent="0.2">
      <c r="E356" s="6"/>
    </row>
    <row r="357" spans="5:5" ht="12.75" x14ac:dyDescent="0.2">
      <c r="E357" s="6"/>
    </row>
    <row r="358" spans="5:5" ht="12.75" x14ac:dyDescent="0.2">
      <c r="E358" s="6"/>
    </row>
    <row r="359" spans="5:5" ht="12.75" x14ac:dyDescent="0.2">
      <c r="E359" s="6"/>
    </row>
    <row r="360" spans="5:5" ht="12.75" x14ac:dyDescent="0.2">
      <c r="E360" s="6"/>
    </row>
    <row r="361" spans="5:5" ht="12.75" x14ac:dyDescent="0.2">
      <c r="E361" s="6"/>
    </row>
    <row r="362" spans="5:5" ht="12.75" x14ac:dyDescent="0.2">
      <c r="E362" s="6"/>
    </row>
    <row r="363" spans="5:5" ht="12.75" x14ac:dyDescent="0.2">
      <c r="E363" s="6"/>
    </row>
    <row r="364" spans="5:5" ht="12.75" x14ac:dyDescent="0.2">
      <c r="E364" s="6"/>
    </row>
    <row r="365" spans="5:5" ht="12.75" x14ac:dyDescent="0.2">
      <c r="E365" s="6"/>
    </row>
    <row r="366" spans="5:5" ht="12.75" x14ac:dyDescent="0.2">
      <c r="E366" s="6"/>
    </row>
    <row r="367" spans="5:5" ht="12.75" x14ac:dyDescent="0.2">
      <c r="E367" s="6"/>
    </row>
    <row r="368" spans="5:5" ht="12.75" x14ac:dyDescent="0.2">
      <c r="E368" s="6"/>
    </row>
    <row r="369" spans="5:5" ht="12.75" x14ac:dyDescent="0.2">
      <c r="E369" s="6"/>
    </row>
    <row r="370" spans="5:5" ht="12.75" x14ac:dyDescent="0.2">
      <c r="E370" s="6"/>
    </row>
    <row r="371" spans="5:5" ht="12.75" x14ac:dyDescent="0.2">
      <c r="E371" s="6"/>
    </row>
    <row r="372" spans="5:5" ht="12.75" x14ac:dyDescent="0.2">
      <c r="E372" s="6"/>
    </row>
    <row r="373" spans="5:5" ht="12.75" x14ac:dyDescent="0.2">
      <c r="E373" s="6"/>
    </row>
    <row r="374" spans="5:5" ht="12.75" x14ac:dyDescent="0.2">
      <c r="E374" s="6"/>
    </row>
    <row r="375" spans="5:5" ht="12.75" x14ac:dyDescent="0.2">
      <c r="E375" s="6"/>
    </row>
    <row r="376" spans="5:5" ht="12.75" x14ac:dyDescent="0.2">
      <c r="E376" s="6"/>
    </row>
    <row r="377" spans="5:5" ht="12.75" x14ac:dyDescent="0.2">
      <c r="E377" s="6"/>
    </row>
    <row r="378" spans="5:5" ht="12.75" x14ac:dyDescent="0.2">
      <c r="E378" s="6"/>
    </row>
    <row r="379" spans="5:5" ht="12.75" x14ac:dyDescent="0.2">
      <c r="E379" s="6"/>
    </row>
    <row r="380" spans="5:5" ht="12.75" x14ac:dyDescent="0.2">
      <c r="E380" s="6"/>
    </row>
    <row r="381" spans="5:5" ht="12.75" x14ac:dyDescent="0.2">
      <c r="E381" s="6"/>
    </row>
    <row r="382" spans="5:5" ht="12.75" x14ac:dyDescent="0.2">
      <c r="E382" s="6"/>
    </row>
    <row r="383" spans="5:5" ht="12.75" x14ac:dyDescent="0.2">
      <c r="E383" s="6"/>
    </row>
    <row r="384" spans="5:5" ht="12.75" x14ac:dyDescent="0.2">
      <c r="E384" s="6"/>
    </row>
    <row r="385" spans="5:5" ht="12.75" x14ac:dyDescent="0.2">
      <c r="E385" s="6"/>
    </row>
    <row r="386" spans="5:5" ht="12.75" x14ac:dyDescent="0.2">
      <c r="E386" s="6"/>
    </row>
    <row r="387" spans="5:5" ht="12.75" x14ac:dyDescent="0.2">
      <c r="E387" s="6"/>
    </row>
    <row r="388" spans="5:5" ht="12.75" x14ac:dyDescent="0.2">
      <c r="E388" s="6"/>
    </row>
    <row r="389" spans="5:5" ht="12.75" x14ac:dyDescent="0.2">
      <c r="E389" s="6"/>
    </row>
    <row r="390" spans="5:5" ht="12.75" x14ac:dyDescent="0.2">
      <c r="E390" s="6"/>
    </row>
    <row r="391" spans="5:5" ht="12.75" x14ac:dyDescent="0.2">
      <c r="E391" s="6"/>
    </row>
    <row r="392" spans="5:5" ht="12.75" x14ac:dyDescent="0.2">
      <c r="E392" s="6"/>
    </row>
    <row r="393" spans="5:5" ht="12.75" x14ac:dyDescent="0.2">
      <c r="E393" s="6"/>
    </row>
    <row r="394" spans="5:5" ht="12.75" x14ac:dyDescent="0.2">
      <c r="E394" s="6"/>
    </row>
    <row r="395" spans="5:5" ht="12.75" x14ac:dyDescent="0.2">
      <c r="E395" s="6"/>
    </row>
    <row r="396" spans="5:5" ht="12.75" x14ac:dyDescent="0.2">
      <c r="E396" s="6"/>
    </row>
    <row r="397" spans="5:5" ht="12.75" x14ac:dyDescent="0.2">
      <c r="E397" s="6"/>
    </row>
    <row r="398" spans="5:5" ht="12.75" x14ac:dyDescent="0.2">
      <c r="E398" s="6"/>
    </row>
    <row r="399" spans="5:5" ht="12.75" x14ac:dyDescent="0.2">
      <c r="E399" s="6"/>
    </row>
    <row r="400" spans="5:5" ht="12.75" x14ac:dyDescent="0.2">
      <c r="E400" s="6"/>
    </row>
    <row r="401" spans="5:5" ht="12.75" x14ac:dyDescent="0.2">
      <c r="E401" s="6"/>
    </row>
    <row r="402" spans="5:5" ht="12.75" x14ac:dyDescent="0.2">
      <c r="E402" s="6"/>
    </row>
    <row r="403" spans="5:5" ht="12.75" x14ac:dyDescent="0.2">
      <c r="E403" s="6"/>
    </row>
    <row r="404" spans="5:5" ht="12.75" x14ac:dyDescent="0.2">
      <c r="E404" s="6"/>
    </row>
    <row r="405" spans="5:5" ht="12.75" x14ac:dyDescent="0.2">
      <c r="E405" s="6"/>
    </row>
    <row r="406" spans="5:5" ht="12.75" x14ac:dyDescent="0.2">
      <c r="E406" s="6"/>
    </row>
    <row r="407" spans="5:5" ht="12.75" x14ac:dyDescent="0.2">
      <c r="E407" s="6"/>
    </row>
    <row r="408" spans="5:5" ht="12.75" x14ac:dyDescent="0.2">
      <c r="E408" s="6"/>
    </row>
    <row r="409" spans="5:5" ht="12.75" x14ac:dyDescent="0.2">
      <c r="E409" s="6"/>
    </row>
    <row r="410" spans="5:5" ht="12.75" x14ac:dyDescent="0.2">
      <c r="E410" s="6"/>
    </row>
    <row r="411" spans="5:5" ht="12.75" x14ac:dyDescent="0.2">
      <c r="E411" s="6"/>
    </row>
    <row r="412" spans="5:5" ht="12.75" x14ac:dyDescent="0.2">
      <c r="E412" s="6"/>
    </row>
    <row r="413" spans="5:5" ht="12.75" x14ac:dyDescent="0.2">
      <c r="E413" s="6"/>
    </row>
    <row r="414" spans="5:5" ht="12.75" x14ac:dyDescent="0.2">
      <c r="E414" s="6"/>
    </row>
    <row r="415" spans="5:5" ht="12.75" x14ac:dyDescent="0.2">
      <c r="E415" s="6"/>
    </row>
    <row r="416" spans="5:5" ht="12.75" x14ac:dyDescent="0.2">
      <c r="E416" s="6"/>
    </row>
    <row r="417" spans="5:5" ht="12.75" x14ac:dyDescent="0.2">
      <c r="E417" s="6"/>
    </row>
    <row r="418" spans="5:5" ht="12.75" x14ac:dyDescent="0.2">
      <c r="E418" s="6"/>
    </row>
    <row r="419" spans="5:5" ht="12.75" x14ac:dyDescent="0.2">
      <c r="E419" s="6"/>
    </row>
    <row r="420" spans="5:5" ht="12.75" x14ac:dyDescent="0.2">
      <c r="E420" s="6"/>
    </row>
    <row r="421" spans="5:5" ht="12.75" x14ac:dyDescent="0.2">
      <c r="E421" s="6"/>
    </row>
    <row r="422" spans="5:5" ht="12.75" x14ac:dyDescent="0.2">
      <c r="E422" s="6"/>
    </row>
    <row r="423" spans="5:5" ht="12.75" x14ac:dyDescent="0.2">
      <c r="E423" s="6"/>
    </row>
    <row r="424" spans="5:5" ht="12.75" x14ac:dyDescent="0.2">
      <c r="E424" s="6"/>
    </row>
    <row r="425" spans="5:5" ht="12.75" x14ac:dyDescent="0.2">
      <c r="E425" s="6"/>
    </row>
    <row r="426" spans="5:5" ht="12.75" x14ac:dyDescent="0.2">
      <c r="E426" s="6"/>
    </row>
    <row r="427" spans="5:5" ht="12.75" x14ac:dyDescent="0.2">
      <c r="E427" s="6"/>
    </row>
    <row r="428" spans="5:5" ht="12.75" x14ac:dyDescent="0.2">
      <c r="E428" s="6"/>
    </row>
    <row r="429" spans="5:5" ht="12.75" x14ac:dyDescent="0.2">
      <c r="E429" s="6"/>
    </row>
    <row r="430" spans="5:5" ht="12.75" x14ac:dyDescent="0.2">
      <c r="E430" s="6"/>
    </row>
    <row r="431" spans="5:5" ht="12.75" x14ac:dyDescent="0.2">
      <c r="E431" s="6"/>
    </row>
    <row r="432" spans="5:5" ht="12.75" x14ac:dyDescent="0.2">
      <c r="E432" s="6"/>
    </row>
    <row r="433" spans="5:5" ht="12.75" x14ac:dyDescent="0.2">
      <c r="E433" s="6"/>
    </row>
    <row r="434" spans="5:5" ht="12.75" x14ac:dyDescent="0.2">
      <c r="E434" s="6"/>
    </row>
    <row r="435" spans="5:5" ht="12.75" x14ac:dyDescent="0.2">
      <c r="E435" s="6"/>
    </row>
    <row r="436" spans="5:5" ht="12.75" x14ac:dyDescent="0.2">
      <c r="E436" s="6"/>
    </row>
    <row r="437" spans="5:5" ht="12.75" x14ac:dyDescent="0.2">
      <c r="E437" s="6"/>
    </row>
    <row r="438" spans="5:5" ht="12.75" x14ac:dyDescent="0.2">
      <c r="E438" s="6"/>
    </row>
    <row r="439" spans="5:5" ht="12.75" x14ac:dyDescent="0.2">
      <c r="E439" s="6"/>
    </row>
    <row r="440" spans="5:5" ht="12.75" x14ac:dyDescent="0.2">
      <c r="E440" s="6"/>
    </row>
    <row r="441" spans="5:5" ht="12.75" x14ac:dyDescent="0.2">
      <c r="E441" s="6"/>
    </row>
    <row r="442" spans="5:5" ht="12.75" x14ac:dyDescent="0.2">
      <c r="E442" s="6"/>
    </row>
    <row r="443" spans="5:5" ht="12.75" x14ac:dyDescent="0.2">
      <c r="E443" s="6"/>
    </row>
    <row r="444" spans="5:5" ht="12.75" x14ac:dyDescent="0.2">
      <c r="E444" s="6"/>
    </row>
    <row r="445" spans="5:5" ht="12.75" x14ac:dyDescent="0.2">
      <c r="E445" s="6"/>
    </row>
    <row r="446" spans="5:5" ht="12.75" x14ac:dyDescent="0.2">
      <c r="E446" s="6"/>
    </row>
    <row r="447" spans="5:5" ht="12.75" x14ac:dyDescent="0.2">
      <c r="E447" s="6"/>
    </row>
    <row r="448" spans="5:5" ht="12.75" x14ac:dyDescent="0.2">
      <c r="E448" s="6"/>
    </row>
    <row r="449" spans="5:5" ht="12.75" x14ac:dyDescent="0.2">
      <c r="E449" s="6"/>
    </row>
    <row r="450" spans="5:5" ht="12.75" x14ac:dyDescent="0.2">
      <c r="E450" s="6"/>
    </row>
    <row r="451" spans="5:5" ht="12.75" x14ac:dyDescent="0.2">
      <c r="E451" s="6"/>
    </row>
    <row r="452" spans="5:5" ht="12.75" x14ac:dyDescent="0.2">
      <c r="E452" s="6"/>
    </row>
    <row r="453" spans="5:5" ht="12.75" x14ac:dyDescent="0.2">
      <c r="E453" s="6"/>
    </row>
    <row r="454" spans="5:5" ht="12.75" x14ac:dyDescent="0.2">
      <c r="E454" s="6"/>
    </row>
    <row r="455" spans="5:5" ht="12.75" x14ac:dyDescent="0.2">
      <c r="E455" s="6"/>
    </row>
    <row r="456" spans="5:5" ht="12.75" x14ac:dyDescent="0.2">
      <c r="E456" s="6"/>
    </row>
    <row r="457" spans="5:5" ht="12.75" x14ac:dyDescent="0.2">
      <c r="E457" s="6"/>
    </row>
    <row r="458" spans="5:5" ht="12.75" x14ac:dyDescent="0.2">
      <c r="E458" s="6"/>
    </row>
    <row r="459" spans="5:5" ht="12.75" x14ac:dyDescent="0.2">
      <c r="E459" s="6"/>
    </row>
    <row r="460" spans="5:5" ht="12.75" x14ac:dyDescent="0.2">
      <c r="E460" s="6"/>
    </row>
    <row r="461" spans="5:5" ht="12.75" x14ac:dyDescent="0.2">
      <c r="E461" s="6"/>
    </row>
    <row r="462" spans="5:5" ht="12.75" x14ac:dyDescent="0.2">
      <c r="E462" s="6"/>
    </row>
    <row r="463" spans="5:5" ht="12.75" x14ac:dyDescent="0.2">
      <c r="E463" s="6"/>
    </row>
    <row r="464" spans="5:5" ht="12.75" x14ac:dyDescent="0.2">
      <c r="E464" s="6"/>
    </row>
    <row r="465" spans="5:5" ht="12.75" x14ac:dyDescent="0.2">
      <c r="E465" s="6"/>
    </row>
    <row r="466" spans="5:5" ht="12.75" x14ac:dyDescent="0.2">
      <c r="E466" s="6"/>
    </row>
    <row r="467" spans="5:5" ht="12.75" x14ac:dyDescent="0.2">
      <c r="E467" s="6"/>
    </row>
    <row r="468" spans="5:5" ht="12.75" x14ac:dyDescent="0.2">
      <c r="E468" s="6"/>
    </row>
    <row r="469" spans="5:5" ht="12.75" x14ac:dyDescent="0.2">
      <c r="E469" s="6"/>
    </row>
    <row r="470" spans="5:5" ht="12.75" x14ac:dyDescent="0.2">
      <c r="E470" s="6"/>
    </row>
    <row r="471" spans="5:5" ht="12.75" x14ac:dyDescent="0.2">
      <c r="E471" s="6"/>
    </row>
    <row r="472" spans="5:5" ht="12.75" x14ac:dyDescent="0.2">
      <c r="E472" s="6"/>
    </row>
    <row r="473" spans="5:5" ht="12.75" x14ac:dyDescent="0.2">
      <c r="E473" s="6"/>
    </row>
    <row r="474" spans="5:5" ht="12.75" x14ac:dyDescent="0.2">
      <c r="E474" s="6"/>
    </row>
    <row r="475" spans="5:5" ht="12.75" x14ac:dyDescent="0.2">
      <c r="E475" s="6"/>
    </row>
    <row r="476" spans="5:5" ht="12.75" x14ac:dyDescent="0.2">
      <c r="E476" s="6"/>
    </row>
    <row r="477" spans="5:5" ht="12.75" x14ac:dyDescent="0.2">
      <c r="E477" s="6"/>
    </row>
    <row r="478" spans="5:5" ht="12.75" x14ac:dyDescent="0.2">
      <c r="E478" s="6"/>
    </row>
    <row r="479" spans="5:5" ht="12.75" x14ac:dyDescent="0.2">
      <c r="E479" s="6"/>
    </row>
    <row r="480" spans="5:5" ht="12.75" x14ac:dyDescent="0.2">
      <c r="E480" s="6"/>
    </row>
    <row r="481" spans="5:5" ht="12.75" x14ac:dyDescent="0.2">
      <c r="E481" s="6"/>
    </row>
    <row r="482" spans="5:5" ht="12.75" x14ac:dyDescent="0.2">
      <c r="E482" s="6"/>
    </row>
    <row r="483" spans="5:5" ht="12.75" x14ac:dyDescent="0.2">
      <c r="E483" s="6"/>
    </row>
    <row r="484" spans="5:5" ht="12.75" x14ac:dyDescent="0.2">
      <c r="E484" s="6"/>
    </row>
    <row r="485" spans="5:5" ht="12.75" x14ac:dyDescent="0.2">
      <c r="E485" s="6"/>
    </row>
    <row r="486" spans="5:5" ht="12.75" x14ac:dyDescent="0.2">
      <c r="E486" s="6"/>
    </row>
    <row r="487" spans="5:5" ht="12.75" x14ac:dyDescent="0.2">
      <c r="E487" s="6"/>
    </row>
    <row r="488" spans="5:5" ht="12.75" x14ac:dyDescent="0.2">
      <c r="E488" s="6"/>
    </row>
    <row r="489" spans="5:5" ht="12.75" x14ac:dyDescent="0.2">
      <c r="E489" s="6"/>
    </row>
    <row r="490" spans="5:5" ht="12.75" x14ac:dyDescent="0.2">
      <c r="E490" s="6"/>
    </row>
    <row r="491" spans="5:5" ht="12.75" x14ac:dyDescent="0.2">
      <c r="E491" s="6"/>
    </row>
    <row r="492" spans="5:5" ht="12.75" x14ac:dyDescent="0.2">
      <c r="E492" s="6"/>
    </row>
    <row r="493" spans="5:5" ht="12.75" x14ac:dyDescent="0.2">
      <c r="E493" s="6"/>
    </row>
    <row r="494" spans="5:5" ht="12.75" x14ac:dyDescent="0.2">
      <c r="E494" s="6"/>
    </row>
    <row r="495" spans="5:5" ht="12.75" x14ac:dyDescent="0.2">
      <c r="E495" s="6"/>
    </row>
    <row r="496" spans="5:5" ht="12.75" x14ac:dyDescent="0.2">
      <c r="E496" s="6"/>
    </row>
    <row r="497" spans="5:5" ht="12.75" x14ac:dyDescent="0.2">
      <c r="E497" s="6"/>
    </row>
    <row r="498" spans="5:5" ht="12.75" x14ac:dyDescent="0.2">
      <c r="E498" s="6"/>
    </row>
    <row r="499" spans="5:5" ht="12.75" x14ac:dyDescent="0.2">
      <c r="E499" s="6"/>
    </row>
    <row r="500" spans="5:5" ht="12.75" x14ac:dyDescent="0.2">
      <c r="E500" s="6"/>
    </row>
    <row r="501" spans="5:5" ht="12.75" x14ac:dyDescent="0.2">
      <c r="E501" s="6"/>
    </row>
    <row r="502" spans="5:5" ht="12.75" x14ac:dyDescent="0.2">
      <c r="E502" s="6"/>
    </row>
    <row r="503" spans="5:5" ht="12.75" x14ac:dyDescent="0.2">
      <c r="E503" s="6"/>
    </row>
    <row r="504" spans="5:5" ht="12.75" x14ac:dyDescent="0.2">
      <c r="E504" s="6"/>
    </row>
    <row r="505" spans="5:5" ht="12.75" x14ac:dyDescent="0.2">
      <c r="E505" s="6"/>
    </row>
    <row r="506" spans="5:5" ht="12.75" x14ac:dyDescent="0.2">
      <c r="E506" s="6"/>
    </row>
    <row r="507" spans="5:5" ht="12.75" x14ac:dyDescent="0.2">
      <c r="E507" s="6"/>
    </row>
    <row r="508" spans="5:5" ht="12.75" x14ac:dyDescent="0.2">
      <c r="E508" s="6"/>
    </row>
    <row r="509" spans="5:5" ht="12.75" x14ac:dyDescent="0.2">
      <c r="E509" s="6"/>
    </row>
    <row r="510" spans="5:5" ht="12.75" x14ac:dyDescent="0.2">
      <c r="E510" s="6"/>
    </row>
    <row r="511" spans="5:5" ht="12.75" x14ac:dyDescent="0.2">
      <c r="E511" s="6"/>
    </row>
    <row r="512" spans="5:5" ht="12.75" x14ac:dyDescent="0.2">
      <c r="E512" s="6"/>
    </row>
    <row r="513" spans="5:5" ht="12.75" x14ac:dyDescent="0.2">
      <c r="E513" s="6"/>
    </row>
    <row r="514" spans="5:5" ht="12.75" x14ac:dyDescent="0.2">
      <c r="E514" s="6"/>
    </row>
    <row r="515" spans="5:5" ht="12.75" x14ac:dyDescent="0.2">
      <c r="E515" s="6"/>
    </row>
    <row r="516" spans="5:5" ht="12.75" x14ac:dyDescent="0.2">
      <c r="E516" s="6"/>
    </row>
    <row r="517" spans="5:5" ht="12.75" x14ac:dyDescent="0.2">
      <c r="E517" s="6"/>
    </row>
    <row r="518" spans="5:5" ht="12.75" x14ac:dyDescent="0.2">
      <c r="E518" s="6"/>
    </row>
    <row r="519" spans="5:5" ht="12.75" x14ac:dyDescent="0.2">
      <c r="E519" s="6"/>
    </row>
    <row r="520" spans="5:5" ht="12.75" x14ac:dyDescent="0.2">
      <c r="E520" s="6"/>
    </row>
    <row r="521" spans="5:5" ht="12.75" x14ac:dyDescent="0.2">
      <c r="E521" s="6"/>
    </row>
    <row r="522" spans="5:5" ht="12.75" x14ac:dyDescent="0.2">
      <c r="E522" s="6"/>
    </row>
    <row r="523" spans="5:5" ht="12.75" x14ac:dyDescent="0.2">
      <c r="E523" s="6"/>
    </row>
    <row r="524" spans="5:5" ht="12.75" x14ac:dyDescent="0.2">
      <c r="E524" s="6"/>
    </row>
    <row r="525" spans="5:5" ht="12.75" x14ac:dyDescent="0.2">
      <c r="E525" s="6"/>
    </row>
    <row r="526" spans="5:5" ht="12.75" x14ac:dyDescent="0.2">
      <c r="E526" s="6"/>
    </row>
    <row r="527" spans="5:5" ht="12.75" x14ac:dyDescent="0.2">
      <c r="E527" s="6"/>
    </row>
    <row r="528" spans="5:5" ht="12.75" x14ac:dyDescent="0.2">
      <c r="E528" s="6"/>
    </row>
    <row r="529" spans="5:5" ht="12.75" x14ac:dyDescent="0.2">
      <c r="E529" s="6"/>
    </row>
    <row r="530" spans="5:5" ht="12.75" x14ac:dyDescent="0.2">
      <c r="E530" s="6"/>
    </row>
    <row r="531" spans="5:5" ht="12.75" x14ac:dyDescent="0.2">
      <c r="E531" s="6"/>
    </row>
    <row r="532" spans="5:5" ht="12.75" x14ac:dyDescent="0.2">
      <c r="E532" s="6"/>
    </row>
    <row r="533" spans="5:5" ht="12.75" x14ac:dyDescent="0.2">
      <c r="E533" s="6"/>
    </row>
    <row r="534" spans="5:5" ht="12.75" x14ac:dyDescent="0.2">
      <c r="E534" s="6"/>
    </row>
    <row r="535" spans="5:5" ht="12.75" x14ac:dyDescent="0.2">
      <c r="E535" s="6"/>
    </row>
    <row r="536" spans="5:5" ht="12.75" x14ac:dyDescent="0.2">
      <c r="E536" s="6"/>
    </row>
    <row r="537" spans="5:5" ht="12.75" x14ac:dyDescent="0.2">
      <c r="E537" s="6"/>
    </row>
    <row r="538" spans="5:5" ht="12.75" x14ac:dyDescent="0.2">
      <c r="E538" s="6"/>
    </row>
    <row r="539" spans="5:5" ht="12.75" x14ac:dyDescent="0.2">
      <c r="E539" s="6"/>
    </row>
    <row r="540" spans="5:5" ht="12.75" x14ac:dyDescent="0.2">
      <c r="E540" s="6"/>
    </row>
    <row r="541" spans="5:5" ht="12.75" x14ac:dyDescent="0.2">
      <c r="E541" s="6"/>
    </row>
    <row r="542" spans="5:5" ht="12.75" x14ac:dyDescent="0.2">
      <c r="E542" s="6"/>
    </row>
    <row r="543" spans="5:5" ht="12.75" x14ac:dyDescent="0.2">
      <c r="E543" s="6"/>
    </row>
    <row r="544" spans="5:5" ht="12.75" x14ac:dyDescent="0.2">
      <c r="E544" s="6"/>
    </row>
    <row r="545" spans="5:5" ht="12.75" x14ac:dyDescent="0.2">
      <c r="E545" s="6"/>
    </row>
    <row r="546" spans="5:5" ht="12.75" x14ac:dyDescent="0.2">
      <c r="E546" s="6"/>
    </row>
    <row r="547" spans="5:5" ht="12.75" x14ac:dyDescent="0.2">
      <c r="E547" s="6"/>
    </row>
    <row r="548" spans="5:5" ht="12.75" x14ac:dyDescent="0.2">
      <c r="E548" s="6"/>
    </row>
    <row r="549" spans="5:5" ht="12.75" x14ac:dyDescent="0.2">
      <c r="E549" s="6"/>
    </row>
    <row r="550" spans="5:5" ht="12.75" x14ac:dyDescent="0.2">
      <c r="E550" s="6"/>
    </row>
    <row r="551" spans="5:5" ht="12.75" x14ac:dyDescent="0.2">
      <c r="E551" s="6"/>
    </row>
    <row r="552" spans="5:5" ht="12.75" x14ac:dyDescent="0.2">
      <c r="E552" s="6"/>
    </row>
    <row r="553" spans="5:5" ht="12.75" x14ac:dyDescent="0.2">
      <c r="E553" s="6"/>
    </row>
    <row r="554" spans="5:5" ht="12.75" x14ac:dyDescent="0.2">
      <c r="E554" s="6"/>
    </row>
    <row r="555" spans="5:5" ht="12.75" x14ac:dyDescent="0.2">
      <c r="E555" s="6"/>
    </row>
    <row r="556" spans="5:5" ht="12.75" x14ac:dyDescent="0.2">
      <c r="E556" s="6"/>
    </row>
    <row r="557" spans="5:5" ht="12.75" x14ac:dyDescent="0.2">
      <c r="E557" s="6"/>
    </row>
    <row r="558" spans="5:5" ht="12.75" x14ac:dyDescent="0.2">
      <c r="E558" s="6"/>
    </row>
    <row r="559" spans="5:5" ht="12.75" x14ac:dyDescent="0.2">
      <c r="E559" s="6"/>
    </row>
    <row r="560" spans="5:5" ht="12.75" x14ac:dyDescent="0.2">
      <c r="E560" s="6"/>
    </row>
    <row r="561" spans="5:5" ht="12.75" x14ac:dyDescent="0.2">
      <c r="E561" s="6"/>
    </row>
    <row r="562" spans="5:5" ht="12.75" x14ac:dyDescent="0.2">
      <c r="E562" s="6"/>
    </row>
    <row r="563" spans="5:5" ht="12.75" x14ac:dyDescent="0.2">
      <c r="E563" s="6"/>
    </row>
    <row r="564" spans="5:5" ht="12.75" x14ac:dyDescent="0.2">
      <c r="E564" s="6"/>
    </row>
    <row r="565" spans="5:5" ht="12.75" x14ac:dyDescent="0.2">
      <c r="E565" s="6"/>
    </row>
    <row r="566" spans="5:5" ht="12.75" x14ac:dyDescent="0.2">
      <c r="E566" s="6"/>
    </row>
    <row r="567" spans="5:5" ht="12.75" x14ac:dyDescent="0.2">
      <c r="E567" s="6"/>
    </row>
    <row r="568" spans="5:5" ht="12.75" x14ac:dyDescent="0.2">
      <c r="E568" s="6"/>
    </row>
    <row r="569" spans="5:5" ht="12.75" x14ac:dyDescent="0.2">
      <c r="E569" s="6"/>
    </row>
    <row r="570" spans="5:5" ht="12.75" x14ac:dyDescent="0.2">
      <c r="E570" s="6"/>
    </row>
    <row r="571" spans="5:5" ht="12.75" x14ac:dyDescent="0.2">
      <c r="E571" s="6"/>
    </row>
    <row r="572" spans="5:5" ht="12.75" x14ac:dyDescent="0.2">
      <c r="E572" s="6"/>
    </row>
    <row r="573" spans="5:5" ht="12.75" x14ac:dyDescent="0.2">
      <c r="E573" s="6"/>
    </row>
    <row r="574" spans="5:5" ht="12.75" x14ac:dyDescent="0.2">
      <c r="E574" s="6"/>
    </row>
    <row r="575" spans="5:5" ht="12.75" x14ac:dyDescent="0.2">
      <c r="E575" s="6"/>
    </row>
    <row r="576" spans="5:5" ht="12.75" x14ac:dyDescent="0.2">
      <c r="E576" s="6"/>
    </row>
    <row r="577" spans="5:5" ht="12.75" x14ac:dyDescent="0.2">
      <c r="E577" s="6"/>
    </row>
    <row r="578" spans="5:5" ht="12.75" x14ac:dyDescent="0.2">
      <c r="E578" s="6"/>
    </row>
    <row r="579" spans="5:5" ht="12.75" x14ac:dyDescent="0.2">
      <c r="E579" s="6"/>
    </row>
    <row r="580" spans="5:5" ht="12.75" x14ac:dyDescent="0.2">
      <c r="E580" s="6"/>
    </row>
    <row r="581" spans="5:5" ht="12.75" x14ac:dyDescent="0.2">
      <c r="E581" s="6"/>
    </row>
    <row r="582" spans="5:5" ht="12.75" x14ac:dyDescent="0.2">
      <c r="E582" s="6"/>
    </row>
    <row r="583" spans="5:5" ht="12.75" x14ac:dyDescent="0.2">
      <c r="E583" s="6"/>
    </row>
    <row r="584" spans="5:5" ht="12.75" x14ac:dyDescent="0.2">
      <c r="E584" s="6"/>
    </row>
    <row r="585" spans="5:5" ht="12.75" x14ac:dyDescent="0.2">
      <c r="E585" s="6"/>
    </row>
    <row r="586" spans="5:5" ht="12.75" x14ac:dyDescent="0.2">
      <c r="E586" s="6"/>
    </row>
    <row r="587" spans="5:5" ht="12.75" x14ac:dyDescent="0.2">
      <c r="E587" s="6"/>
    </row>
    <row r="588" spans="5:5" ht="12.75" x14ac:dyDescent="0.2">
      <c r="E588" s="6"/>
    </row>
    <row r="589" spans="5:5" ht="12.75" x14ac:dyDescent="0.2">
      <c r="E589" s="6"/>
    </row>
    <row r="590" spans="5:5" ht="12.75" x14ac:dyDescent="0.2">
      <c r="E590" s="6"/>
    </row>
    <row r="591" spans="5:5" ht="12.75" x14ac:dyDescent="0.2">
      <c r="E591" s="6"/>
    </row>
    <row r="592" spans="5:5" ht="12.75" x14ac:dyDescent="0.2">
      <c r="E592" s="6"/>
    </row>
    <row r="593" spans="5:5" ht="12.75" x14ac:dyDescent="0.2">
      <c r="E593" s="6"/>
    </row>
    <row r="594" spans="5:5" ht="12.75" x14ac:dyDescent="0.2">
      <c r="E594" s="6"/>
    </row>
    <row r="595" spans="5:5" ht="12.75" x14ac:dyDescent="0.2">
      <c r="E595" s="6"/>
    </row>
    <row r="596" spans="5:5" ht="12.75" x14ac:dyDescent="0.2">
      <c r="E596" s="6"/>
    </row>
    <row r="597" spans="5:5" ht="12.75" x14ac:dyDescent="0.2">
      <c r="E597" s="6"/>
    </row>
    <row r="598" spans="5:5" ht="12.75" x14ac:dyDescent="0.2">
      <c r="E598" s="6"/>
    </row>
    <row r="599" spans="5:5" ht="12.75" x14ac:dyDescent="0.2">
      <c r="E599" s="6"/>
    </row>
    <row r="600" spans="5:5" ht="12.75" x14ac:dyDescent="0.2">
      <c r="E600" s="6"/>
    </row>
    <row r="601" spans="5:5" ht="12.75" x14ac:dyDescent="0.2">
      <c r="E601" s="6"/>
    </row>
    <row r="602" spans="5:5" ht="12.75" x14ac:dyDescent="0.2">
      <c r="E602" s="6"/>
    </row>
    <row r="603" spans="5:5" ht="12.75" x14ac:dyDescent="0.2">
      <c r="E603" s="6"/>
    </row>
    <row r="604" spans="5:5" ht="12.75" x14ac:dyDescent="0.2">
      <c r="E604" s="6"/>
    </row>
    <row r="605" spans="5:5" ht="12.75" x14ac:dyDescent="0.2">
      <c r="E605" s="6"/>
    </row>
    <row r="606" spans="5:5" ht="12.75" x14ac:dyDescent="0.2">
      <c r="E606" s="6"/>
    </row>
    <row r="607" spans="5:5" ht="12.75" x14ac:dyDescent="0.2">
      <c r="E607" s="6"/>
    </row>
    <row r="608" spans="5:5" ht="12.75" x14ac:dyDescent="0.2">
      <c r="E608" s="6"/>
    </row>
    <row r="609" spans="5:5" ht="12.75" x14ac:dyDescent="0.2">
      <c r="E609" s="6"/>
    </row>
    <row r="610" spans="5:5" ht="12.75" x14ac:dyDescent="0.2">
      <c r="E610" s="6"/>
    </row>
    <row r="611" spans="5:5" ht="12.75" x14ac:dyDescent="0.2">
      <c r="E611" s="6"/>
    </row>
    <row r="612" spans="5:5" ht="12.75" x14ac:dyDescent="0.2">
      <c r="E612" s="6"/>
    </row>
    <row r="613" spans="5:5" ht="12.75" x14ac:dyDescent="0.2">
      <c r="E613" s="6"/>
    </row>
    <row r="614" spans="5:5" ht="12.75" x14ac:dyDescent="0.2">
      <c r="E614" s="6"/>
    </row>
    <row r="615" spans="5:5" ht="12.75" x14ac:dyDescent="0.2">
      <c r="E615" s="6"/>
    </row>
    <row r="616" spans="5:5" ht="12.75" x14ac:dyDescent="0.2">
      <c r="E616" s="6"/>
    </row>
    <row r="617" spans="5:5" ht="12.75" x14ac:dyDescent="0.2">
      <c r="E617" s="6"/>
    </row>
    <row r="618" spans="5:5" ht="12.75" x14ac:dyDescent="0.2">
      <c r="E618" s="6"/>
    </row>
    <row r="619" spans="5:5" ht="12.75" x14ac:dyDescent="0.2">
      <c r="E619" s="6"/>
    </row>
    <row r="620" spans="5:5" ht="12.75" x14ac:dyDescent="0.2">
      <c r="E620" s="6"/>
    </row>
    <row r="621" spans="5:5" ht="12.75" x14ac:dyDescent="0.2">
      <c r="E621" s="6"/>
    </row>
    <row r="622" spans="5:5" ht="12.75" x14ac:dyDescent="0.2">
      <c r="E622" s="6"/>
    </row>
    <row r="623" spans="5:5" ht="12.75" x14ac:dyDescent="0.2">
      <c r="E623" s="6"/>
    </row>
    <row r="624" spans="5:5" ht="12.75" x14ac:dyDescent="0.2">
      <c r="E624" s="6"/>
    </row>
    <row r="625" spans="5:5" ht="12.75" x14ac:dyDescent="0.2">
      <c r="E625" s="6"/>
    </row>
    <row r="626" spans="5:5" ht="12.75" x14ac:dyDescent="0.2">
      <c r="E626" s="6"/>
    </row>
    <row r="627" spans="5:5" ht="12.75" x14ac:dyDescent="0.2">
      <c r="E627" s="6"/>
    </row>
    <row r="628" spans="5:5" ht="12.75" x14ac:dyDescent="0.2">
      <c r="E628" s="6"/>
    </row>
    <row r="629" spans="5:5" ht="12.75" x14ac:dyDescent="0.2">
      <c r="E629" s="6"/>
    </row>
    <row r="630" spans="5:5" ht="12.75" x14ac:dyDescent="0.2">
      <c r="E630" s="6"/>
    </row>
    <row r="631" spans="5:5" ht="12.75" x14ac:dyDescent="0.2">
      <c r="E631" s="6"/>
    </row>
    <row r="632" spans="5:5" ht="12.75" x14ac:dyDescent="0.2">
      <c r="E632" s="6"/>
    </row>
    <row r="633" spans="5:5" ht="12.75" x14ac:dyDescent="0.2">
      <c r="E633" s="6"/>
    </row>
    <row r="634" spans="5:5" ht="12.75" x14ac:dyDescent="0.2">
      <c r="E634" s="6"/>
    </row>
    <row r="635" spans="5:5" ht="12.75" x14ac:dyDescent="0.2">
      <c r="E635" s="6"/>
    </row>
    <row r="636" spans="5:5" ht="12.75" x14ac:dyDescent="0.2">
      <c r="E636" s="6"/>
    </row>
    <row r="637" spans="5:5" ht="12.75" x14ac:dyDescent="0.2">
      <c r="E637" s="6"/>
    </row>
    <row r="638" spans="5:5" ht="12.75" x14ac:dyDescent="0.2">
      <c r="E638" s="6"/>
    </row>
    <row r="639" spans="5:5" ht="12.75" x14ac:dyDescent="0.2">
      <c r="E639" s="6"/>
    </row>
    <row r="640" spans="5:5" ht="12.75" x14ac:dyDescent="0.2">
      <c r="E640" s="6"/>
    </row>
    <row r="641" spans="5:5" ht="12.75" x14ac:dyDescent="0.2">
      <c r="E641" s="6"/>
    </row>
    <row r="642" spans="5:5" ht="12.75" x14ac:dyDescent="0.2">
      <c r="E642" s="6"/>
    </row>
    <row r="643" spans="5:5" ht="12.75" x14ac:dyDescent="0.2">
      <c r="E643" s="6"/>
    </row>
    <row r="644" spans="5:5" ht="12.75" x14ac:dyDescent="0.2">
      <c r="E644" s="6"/>
    </row>
    <row r="645" spans="5:5" ht="12.75" x14ac:dyDescent="0.2">
      <c r="E645" s="6"/>
    </row>
    <row r="646" spans="5:5" ht="12.75" x14ac:dyDescent="0.2">
      <c r="E646" s="6"/>
    </row>
    <row r="647" spans="5:5" ht="12.75" x14ac:dyDescent="0.2">
      <c r="E647" s="6"/>
    </row>
    <row r="648" spans="5:5" ht="12.75" x14ac:dyDescent="0.2">
      <c r="E648" s="6"/>
    </row>
    <row r="649" spans="5:5" ht="12.75" x14ac:dyDescent="0.2">
      <c r="E649" s="6"/>
    </row>
    <row r="650" spans="5:5" ht="12.75" x14ac:dyDescent="0.2">
      <c r="E650" s="6"/>
    </row>
    <row r="651" spans="5:5" ht="12.75" x14ac:dyDescent="0.2">
      <c r="E651" s="6"/>
    </row>
    <row r="652" spans="5:5" ht="12.75" x14ac:dyDescent="0.2">
      <c r="E652" s="6"/>
    </row>
    <row r="653" spans="5:5" ht="12.75" x14ac:dyDescent="0.2">
      <c r="E653" s="6"/>
    </row>
    <row r="654" spans="5:5" ht="12.75" x14ac:dyDescent="0.2">
      <c r="E654" s="6"/>
    </row>
    <row r="655" spans="5:5" ht="12.75" x14ac:dyDescent="0.2">
      <c r="E655" s="6"/>
    </row>
    <row r="656" spans="5:5" ht="12.75" x14ac:dyDescent="0.2">
      <c r="E656" s="6"/>
    </row>
    <row r="657" spans="5:5" ht="12.75" x14ac:dyDescent="0.2">
      <c r="E657" s="6"/>
    </row>
    <row r="658" spans="5:5" ht="12.75" x14ac:dyDescent="0.2">
      <c r="E658" s="6"/>
    </row>
    <row r="659" spans="5:5" ht="12.75" x14ac:dyDescent="0.2">
      <c r="E659" s="6"/>
    </row>
    <row r="660" spans="5:5" ht="12.75" x14ac:dyDescent="0.2">
      <c r="E660" s="6"/>
    </row>
    <row r="661" spans="5:5" ht="12.75" x14ac:dyDescent="0.2">
      <c r="E661" s="6"/>
    </row>
    <row r="662" spans="5:5" ht="12.75" x14ac:dyDescent="0.2">
      <c r="E662" s="6"/>
    </row>
    <row r="663" spans="5:5" ht="12.75" x14ac:dyDescent="0.2">
      <c r="E663" s="6"/>
    </row>
    <row r="664" spans="5:5" ht="12.75" x14ac:dyDescent="0.2">
      <c r="E664" s="6"/>
    </row>
    <row r="665" spans="5:5" ht="12.75" x14ac:dyDescent="0.2">
      <c r="E665" s="6"/>
    </row>
    <row r="666" spans="5:5" ht="12.75" x14ac:dyDescent="0.2">
      <c r="E666" s="6"/>
    </row>
    <row r="667" spans="5:5" ht="12.75" x14ac:dyDescent="0.2">
      <c r="E667" s="6"/>
    </row>
    <row r="668" spans="5:5" ht="12.75" x14ac:dyDescent="0.2">
      <c r="E668" s="6"/>
    </row>
    <row r="669" spans="5:5" ht="12.75" x14ac:dyDescent="0.2">
      <c r="E669" s="6"/>
    </row>
    <row r="670" spans="5:5" ht="12.75" x14ac:dyDescent="0.2">
      <c r="E670" s="6"/>
    </row>
    <row r="671" spans="5:5" ht="12.75" x14ac:dyDescent="0.2">
      <c r="E671" s="6"/>
    </row>
    <row r="672" spans="5:5" ht="12.75" x14ac:dyDescent="0.2">
      <c r="E672" s="6"/>
    </row>
    <row r="673" spans="5:5" ht="12.75" x14ac:dyDescent="0.2">
      <c r="E673" s="6"/>
    </row>
    <row r="674" spans="5:5" ht="12.75" x14ac:dyDescent="0.2">
      <c r="E674" s="6"/>
    </row>
    <row r="675" spans="5:5" ht="12.75" x14ac:dyDescent="0.2">
      <c r="E675" s="6"/>
    </row>
    <row r="676" spans="5:5" ht="12.75" x14ac:dyDescent="0.2">
      <c r="E676" s="6"/>
    </row>
    <row r="677" spans="5:5" ht="12.75" x14ac:dyDescent="0.2">
      <c r="E677" s="6"/>
    </row>
    <row r="678" spans="5:5" ht="12.75" x14ac:dyDescent="0.2">
      <c r="E678" s="6"/>
    </row>
    <row r="679" spans="5:5" ht="12.75" x14ac:dyDescent="0.2">
      <c r="E679" s="6"/>
    </row>
    <row r="680" spans="5:5" ht="12.75" x14ac:dyDescent="0.2">
      <c r="E680" s="6"/>
    </row>
    <row r="681" spans="5:5" ht="12.75" x14ac:dyDescent="0.2">
      <c r="E681" s="6"/>
    </row>
    <row r="682" spans="5:5" ht="12.75" x14ac:dyDescent="0.2">
      <c r="E682" s="6"/>
    </row>
    <row r="683" spans="5:5" ht="12.75" x14ac:dyDescent="0.2">
      <c r="E683" s="6"/>
    </row>
    <row r="684" spans="5:5" ht="12.75" x14ac:dyDescent="0.2">
      <c r="E684" s="6"/>
    </row>
    <row r="685" spans="5:5" ht="12.75" x14ac:dyDescent="0.2">
      <c r="E685" s="6"/>
    </row>
    <row r="686" spans="5:5" ht="12.75" x14ac:dyDescent="0.2">
      <c r="E686" s="6"/>
    </row>
    <row r="687" spans="5:5" ht="12.75" x14ac:dyDescent="0.2">
      <c r="E687" s="6"/>
    </row>
    <row r="688" spans="5:5" ht="12.75" x14ac:dyDescent="0.2">
      <c r="E688" s="6"/>
    </row>
    <row r="689" spans="5:5" ht="12.75" x14ac:dyDescent="0.2">
      <c r="E689" s="6"/>
    </row>
    <row r="690" spans="5:5" ht="12.75" x14ac:dyDescent="0.2">
      <c r="E690" s="6"/>
    </row>
    <row r="691" spans="5:5" ht="12.75" x14ac:dyDescent="0.2">
      <c r="E691" s="6"/>
    </row>
    <row r="692" spans="5:5" ht="12.75" x14ac:dyDescent="0.2">
      <c r="E692" s="6"/>
    </row>
    <row r="693" spans="5:5" ht="12.75" x14ac:dyDescent="0.2">
      <c r="E693" s="6"/>
    </row>
    <row r="694" spans="5:5" ht="12.75" x14ac:dyDescent="0.2">
      <c r="E694" s="6"/>
    </row>
    <row r="695" spans="5:5" ht="12.75" x14ac:dyDescent="0.2">
      <c r="E695" s="6"/>
    </row>
    <row r="696" spans="5:5" ht="12.75" x14ac:dyDescent="0.2">
      <c r="E696" s="6"/>
    </row>
    <row r="697" spans="5:5" ht="12.75" x14ac:dyDescent="0.2">
      <c r="E697" s="6"/>
    </row>
    <row r="698" spans="5:5" ht="12.75" x14ac:dyDescent="0.2">
      <c r="E698" s="6"/>
    </row>
    <row r="699" spans="5:5" ht="12.75" x14ac:dyDescent="0.2">
      <c r="E699" s="6"/>
    </row>
    <row r="700" spans="5:5" ht="12.75" x14ac:dyDescent="0.2">
      <c r="E700" s="6"/>
    </row>
    <row r="701" spans="5:5" ht="12.75" x14ac:dyDescent="0.2">
      <c r="E701" s="6"/>
    </row>
    <row r="702" spans="5:5" ht="12.75" x14ac:dyDescent="0.2">
      <c r="E702" s="6"/>
    </row>
    <row r="703" spans="5:5" ht="12.75" x14ac:dyDescent="0.2">
      <c r="E703" s="6"/>
    </row>
    <row r="704" spans="5:5" ht="12.75" x14ac:dyDescent="0.2">
      <c r="E704" s="6"/>
    </row>
    <row r="705" spans="5:5" ht="12.75" x14ac:dyDescent="0.2">
      <c r="E705" s="6"/>
    </row>
    <row r="706" spans="5:5" ht="12.75" x14ac:dyDescent="0.2">
      <c r="E706" s="6"/>
    </row>
    <row r="707" spans="5:5" ht="12.75" x14ac:dyDescent="0.2">
      <c r="E707" s="6"/>
    </row>
    <row r="708" spans="5:5" ht="12.75" x14ac:dyDescent="0.2">
      <c r="E708" s="6"/>
    </row>
    <row r="709" spans="5:5" ht="12.75" x14ac:dyDescent="0.2">
      <c r="E709" s="6"/>
    </row>
    <row r="710" spans="5:5" ht="12.75" x14ac:dyDescent="0.2">
      <c r="E710" s="6"/>
    </row>
    <row r="711" spans="5:5" ht="12.75" x14ac:dyDescent="0.2">
      <c r="E711" s="6"/>
    </row>
    <row r="712" spans="5:5" ht="12.75" x14ac:dyDescent="0.2">
      <c r="E712" s="6"/>
    </row>
    <row r="713" spans="5:5" ht="12.75" x14ac:dyDescent="0.2">
      <c r="E713" s="6"/>
    </row>
    <row r="714" spans="5:5" ht="12.75" x14ac:dyDescent="0.2">
      <c r="E714" s="6"/>
    </row>
    <row r="715" spans="5:5" ht="12.75" x14ac:dyDescent="0.2">
      <c r="E715" s="6"/>
    </row>
    <row r="716" spans="5:5" ht="12.75" x14ac:dyDescent="0.2">
      <c r="E716" s="6"/>
    </row>
    <row r="717" spans="5:5" ht="12.75" x14ac:dyDescent="0.2">
      <c r="E717" s="6"/>
    </row>
    <row r="718" spans="5:5" ht="12.75" x14ac:dyDescent="0.2">
      <c r="E718" s="6"/>
    </row>
    <row r="719" spans="5:5" ht="12.75" x14ac:dyDescent="0.2">
      <c r="E719" s="6"/>
    </row>
    <row r="720" spans="5:5" ht="12.75" x14ac:dyDescent="0.2">
      <c r="E720" s="6"/>
    </row>
    <row r="721" spans="5:5" ht="12.75" x14ac:dyDescent="0.2">
      <c r="E721" s="6"/>
    </row>
    <row r="722" spans="5:5" ht="12.75" x14ac:dyDescent="0.2">
      <c r="E722" s="6"/>
    </row>
    <row r="723" spans="5:5" ht="12.75" x14ac:dyDescent="0.2">
      <c r="E723" s="6"/>
    </row>
    <row r="724" spans="5:5" ht="12.75" x14ac:dyDescent="0.2">
      <c r="E724" s="6"/>
    </row>
    <row r="725" spans="5:5" ht="12.75" x14ac:dyDescent="0.2">
      <c r="E725" s="6"/>
    </row>
    <row r="726" spans="5:5" ht="12.75" x14ac:dyDescent="0.2">
      <c r="E726" s="6"/>
    </row>
    <row r="727" spans="5:5" ht="12.75" x14ac:dyDescent="0.2">
      <c r="E727" s="6"/>
    </row>
    <row r="728" spans="5:5" ht="12.75" x14ac:dyDescent="0.2">
      <c r="E728" s="6"/>
    </row>
    <row r="729" spans="5:5" ht="12.75" x14ac:dyDescent="0.2">
      <c r="E729" s="6"/>
    </row>
    <row r="730" spans="5:5" ht="12.75" x14ac:dyDescent="0.2">
      <c r="E730" s="6"/>
    </row>
    <row r="731" spans="5:5" ht="12.75" x14ac:dyDescent="0.2">
      <c r="E731" s="6"/>
    </row>
    <row r="732" spans="5:5" ht="12.75" x14ac:dyDescent="0.2">
      <c r="E732" s="6"/>
    </row>
    <row r="733" spans="5:5" ht="12.75" x14ac:dyDescent="0.2">
      <c r="E733" s="6"/>
    </row>
    <row r="734" spans="5:5" ht="12.75" x14ac:dyDescent="0.2">
      <c r="E734" s="6"/>
    </row>
    <row r="735" spans="5:5" ht="12.75" x14ac:dyDescent="0.2">
      <c r="E735" s="6"/>
    </row>
    <row r="736" spans="5:5" ht="12.75" x14ac:dyDescent="0.2">
      <c r="E736" s="6"/>
    </row>
    <row r="737" spans="5:5" ht="12.75" x14ac:dyDescent="0.2">
      <c r="E737" s="6"/>
    </row>
    <row r="738" spans="5:5" ht="12.75" x14ac:dyDescent="0.2">
      <c r="E738" s="6"/>
    </row>
    <row r="739" spans="5:5" ht="12.75" x14ac:dyDescent="0.2">
      <c r="E739" s="6"/>
    </row>
    <row r="740" spans="5:5" ht="12.75" x14ac:dyDescent="0.2">
      <c r="E740" s="6"/>
    </row>
    <row r="741" spans="5:5" ht="12.75" x14ac:dyDescent="0.2">
      <c r="E741" s="6"/>
    </row>
    <row r="742" spans="5:5" ht="12.75" x14ac:dyDescent="0.2">
      <c r="E742" s="6"/>
    </row>
    <row r="743" spans="5:5" ht="12.75" x14ac:dyDescent="0.2">
      <c r="E743" s="6"/>
    </row>
    <row r="744" spans="5:5" ht="12.75" x14ac:dyDescent="0.2">
      <c r="E744" s="6"/>
    </row>
    <row r="745" spans="5:5" ht="12.75" x14ac:dyDescent="0.2">
      <c r="E745" s="6"/>
    </row>
    <row r="746" spans="5:5" ht="12.75" x14ac:dyDescent="0.2">
      <c r="E746" s="6"/>
    </row>
    <row r="747" spans="5:5" ht="12.75" x14ac:dyDescent="0.2">
      <c r="E747" s="6"/>
    </row>
    <row r="748" spans="5:5" ht="12.75" x14ac:dyDescent="0.2">
      <c r="E748" s="6"/>
    </row>
    <row r="749" spans="5:5" ht="12.75" x14ac:dyDescent="0.2">
      <c r="E749" s="6"/>
    </row>
    <row r="750" spans="5:5" ht="12.75" x14ac:dyDescent="0.2">
      <c r="E750" s="6"/>
    </row>
    <row r="751" spans="5:5" ht="12.75" x14ac:dyDescent="0.2">
      <c r="E751" s="6"/>
    </row>
    <row r="752" spans="5:5" ht="12.75" x14ac:dyDescent="0.2">
      <c r="E752" s="6"/>
    </row>
    <row r="753" spans="5:5" ht="12.75" x14ac:dyDescent="0.2">
      <c r="E753" s="6"/>
    </row>
    <row r="754" spans="5:5" ht="12.75" x14ac:dyDescent="0.2">
      <c r="E754" s="6"/>
    </row>
    <row r="755" spans="5:5" ht="12.75" x14ac:dyDescent="0.2">
      <c r="E755" s="6"/>
    </row>
    <row r="756" spans="5:5" ht="12.75" x14ac:dyDescent="0.2">
      <c r="E756" s="6"/>
    </row>
    <row r="757" spans="5:5" ht="12.75" x14ac:dyDescent="0.2">
      <c r="E757" s="6"/>
    </row>
    <row r="758" spans="5:5" ht="12.75" x14ac:dyDescent="0.2">
      <c r="E758" s="6"/>
    </row>
    <row r="759" spans="5:5" ht="12.75" x14ac:dyDescent="0.2">
      <c r="E759" s="6"/>
    </row>
    <row r="760" spans="5:5" ht="12.75" x14ac:dyDescent="0.2">
      <c r="E760" s="6"/>
    </row>
    <row r="761" spans="5:5" ht="12.75" x14ac:dyDescent="0.2">
      <c r="E761" s="6"/>
    </row>
    <row r="762" spans="5:5" ht="12.75" x14ac:dyDescent="0.2">
      <c r="E762" s="6"/>
    </row>
    <row r="763" spans="5:5" ht="12.75" x14ac:dyDescent="0.2">
      <c r="E763" s="6"/>
    </row>
    <row r="764" spans="5:5" ht="12.75" x14ac:dyDescent="0.2">
      <c r="E764" s="6"/>
    </row>
    <row r="765" spans="5:5" ht="12.75" x14ac:dyDescent="0.2">
      <c r="E765" s="6"/>
    </row>
    <row r="766" spans="5:5" ht="12.75" x14ac:dyDescent="0.2">
      <c r="E766" s="6"/>
    </row>
    <row r="767" spans="5:5" ht="12.75" x14ac:dyDescent="0.2">
      <c r="E767" s="6"/>
    </row>
    <row r="768" spans="5:5" ht="12.75" x14ac:dyDescent="0.2">
      <c r="E768" s="6"/>
    </row>
    <row r="769" spans="5:5" ht="12.75" x14ac:dyDescent="0.2">
      <c r="E769" s="6"/>
    </row>
    <row r="770" spans="5:5" ht="12.75" x14ac:dyDescent="0.2">
      <c r="E770" s="6"/>
    </row>
    <row r="771" spans="5:5" ht="12.75" x14ac:dyDescent="0.2">
      <c r="E771" s="6"/>
    </row>
    <row r="772" spans="5:5" ht="12.75" x14ac:dyDescent="0.2">
      <c r="E772" s="6"/>
    </row>
    <row r="773" spans="5:5" ht="12.75" x14ac:dyDescent="0.2">
      <c r="E773" s="6"/>
    </row>
    <row r="774" spans="5:5" ht="12.75" x14ac:dyDescent="0.2">
      <c r="E774" s="6"/>
    </row>
    <row r="775" spans="5:5" ht="12.75" x14ac:dyDescent="0.2">
      <c r="E775" s="6"/>
    </row>
    <row r="776" spans="5:5" ht="12.75" x14ac:dyDescent="0.2">
      <c r="E776" s="6"/>
    </row>
    <row r="777" spans="5:5" ht="12.75" x14ac:dyDescent="0.2">
      <c r="E777" s="6"/>
    </row>
    <row r="778" spans="5:5" ht="12.75" x14ac:dyDescent="0.2">
      <c r="E778" s="6"/>
    </row>
    <row r="779" spans="5:5" ht="12.75" x14ac:dyDescent="0.2">
      <c r="E779" s="6"/>
    </row>
    <row r="780" spans="5:5" ht="12.75" x14ac:dyDescent="0.2">
      <c r="E780" s="6"/>
    </row>
    <row r="781" spans="5:5" ht="12.75" x14ac:dyDescent="0.2">
      <c r="E781" s="6"/>
    </row>
    <row r="782" spans="5:5" ht="12.75" x14ac:dyDescent="0.2">
      <c r="E782" s="6"/>
    </row>
    <row r="783" spans="5:5" ht="12.75" x14ac:dyDescent="0.2">
      <c r="E783" s="6"/>
    </row>
    <row r="784" spans="5:5" ht="12.75" x14ac:dyDescent="0.2">
      <c r="E784" s="6"/>
    </row>
    <row r="785" spans="5:5" ht="12.75" x14ac:dyDescent="0.2">
      <c r="E785" s="6"/>
    </row>
    <row r="786" spans="5:5" ht="12.75" x14ac:dyDescent="0.2">
      <c r="E786" s="6"/>
    </row>
    <row r="787" spans="5:5" ht="12.75" x14ac:dyDescent="0.2">
      <c r="E787" s="6"/>
    </row>
    <row r="788" spans="5:5" ht="12.75" x14ac:dyDescent="0.2">
      <c r="E788" s="6"/>
    </row>
    <row r="789" spans="5:5" ht="12.75" x14ac:dyDescent="0.2">
      <c r="E789" s="6"/>
    </row>
    <row r="790" spans="5:5" ht="12.75" x14ac:dyDescent="0.2">
      <c r="E790" s="6"/>
    </row>
    <row r="791" spans="5:5" ht="12.75" x14ac:dyDescent="0.2">
      <c r="E791" s="6"/>
    </row>
    <row r="792" spans="5:5" ht="12.75" x14ac:dyDescent="0.2">
      <c r="E792" s="6"/>
    </row>
    <row r="793" spans="5:5" ht="12.75" x14ac:dyDescent="0.2">
      <c r="E793" s="6"/>
    </row>
    <row r="794" spans="5:5" ht="12.75" x14ac:dyDescent="0.2">
      <c r="E794" s="6"/>
    </row>
    <row r="795" spans="5:5" ht="12.75" x14ac:dyDescent="0.2">
      <c r="E795" s="6"/>
    </row>
    <row r="796" spans="5:5" ht="12.75" x14ac:dyDescent="0.2">
      <c r="E796" s="6"/>
    </row>
    <row r="797" spans="5:5" ht="12.75" x14ac:dyDescent="0.2">
      <c r="E797" s="6"/>
    </row>
    <row r="798" spans="5:5" ht="12.75" x14ac:dyDescent="0.2">
      <c r="E798" s="6"/>
    </row>
    <row r="799" spans="5:5" ht="12.75" x14ac:dyDescent="0.2">
      <c r="E799" s="6"/>
    </row>
    <row r="800" spans="5:5" ht="12.75" x14ac:dyDescent="0.2">
      <c r="E800" s="6"/>
    </row>
    <row r="801" spans="5:5" ht="12.75" x14ac:dyDescent="0.2">
      <c r="E801" s="6"/>
    </row>
    <row r="802" spans="5:5" ht="12.75" x14ac:dyDescent="0.2">
      <c r="E802" s="6"/>
    </row>
    <row r="803" spans="5:5" ht="12.75" x14ac:dyDescent="0.2">
      <c r="E803" s="6"/>
    </row>
    <row r="804" spans="5:5" ht="12.75" x14ac:dyDescent="0.2">
      <c r="E804" s="6"/>
    </row>
    <row r="805" spans="5:5" ht="12.75" x14ac:dyDescent="0.2">
      <c r="E805" s="6"/>
    </row>
    <row r="806" spans="5:5" ht="12.75" x14ac:dyDescent="0.2">
      <c r="E806" s="6"/>
    </row>
    <row r="807" spans="5:5" ht="12.75" x14ac:dyDescent="0.2">
      <c r="E807" s="6"/>
    </row>
    <row r="808" spans="5:5" ht="12.75" x14ac:dyDescent="0.2">
      <c r="E808" s="6"/>
    </row>
    <row r="809" spans="5:5" ht="12.75" x14ac:dyDescent="0.2">
      <c r="E809" s="6"/>
    </row>
    <row r="810" spans="5:5" ht="12.75" x14ac:dyDescent="0.2">
      <c r="E810" s="6"/>
    </row>
    <row r="811" spans="5:5" ht="12.75" x14ac:dyDescent="0.2">
      <c r="E811" s="6"/>
    </row>
    <row r="812" spans="5:5" ht="12.75" x14ac:dyDescent="0.2">
      <c r="E812" s="6"/>
    </row>
    <row r="813" spans="5:5" ht="12.75" x14ac:dyDescent="0.2">
      <c r="E813" s="6"/>
    </row>
    <row r="814" spans="5:5" ht="12.75" x14ac:dyDescent="0.2">
      <c r="E814" s="6"/>
    </row>
    <row r="815" spans="5:5" ht="12.75" x14ac:dyDescent="0.2">
      <c r="E815" s="6"/>
    </row>
    <row r="816" spans="5:5" ht="12.75" x14ac:dyDescent="0.2">
      <c r="E816" s="6"/>
    </row>
    <row r="817" spans="5:5" ht="12.75" x14ac:dyDescent="0.2">
      <c r="E817" s="6"/>
    </row>
    <row r="818" spans="5:5" ht="12.75" x14ac:dyDescent="0.2">
      <c r="E818" s="6"/>
    </row>
    <row r="819" spans="5:5" ht="12.75" x14ac:dyDescent="0.2">
      <c r="E819" s="6"/>
    </row>
    <row r="820" spans="5:5" ht="12.75" x14ac:dyDescent="0.2">
      <c r="E820" s="6"/>
    </row>
    <row r="821" spans="5:5" ht="12.75" x14ac:dyDescent="0.2">
      <c r="E821" s="6"/>
    </row>
    <row r="822" spans="5:5" ht="12.75" x14ac:dyDescent="0.2">
      <c r="E822" s="6"/>
    </row>
    <row r="823" spans="5:5" ht="12.75" x14ac:dyDescent="0.2">
      <c r="E823" s="6"/>
    </row>
    <row r="824" spans="5:5" ht="12.75" x14ac:dyDescent="0.2">
      <c r="E824" s="6"/>
    </row>
    <row r="825" spans="5:5" ht="12.75" x14ac:dyDescent="0.2">
      <c r="E825" s="6"/>
    </row>
    <row r="826" spans="5:5" ht="12.75" x14ac:dyDescent="0.2">
      <c r="E826" s="6"/>
    </row>
    <row r="827" spans="5:5" ht="12.75" x14ac:dyDescent="0.2">
      <c r="E827" s="6"/>
    </row>
    <row r="828" spans="5:5" ht="12.75" x14ac:dyDescent="0.2">
      <c r="E828" s="6"/>
    </row>
    <row r="829" spans="5:5" ht="12.75" x14ac:dyDescent="0.2">
      <c r="E829" s="6"/>
    </row>
    <row r="830" spans="5:5" ht="12.75" x14ac:dyDescent="0.2">
      <c r="E830" s="6"/>
    </row>
    <row r="831" spans="5:5" ht="12.75" x14ac:dyDescent="0.2">
      <c r="E831" s="6"/>
    </row>
    <row r="832" spans="5:5" ht="12.75" x14ac:dyDescent="0.2">
      <c r="E832" s="6"/>
    </row>
    <row r="833" spans="5:5" ht="12.75" x14ac:dyDescent="0.2">
      <c r="E833" s="6"/>
    </row>
    <row r="834" spans="5:5" ht="12.75" x14ac:dyDescent="0.2">
      <c r="E834" s="6"/>
    </row>
    <row r="835" spans="5:5" ht="12.75" x14ac:dyDescent="0.2">
      <c r="E835" s="6"/>
    </row>
    <row r="836" spans="5:5" ht="12.75" x14ac:dyDescent="0.2">
      <c r="E836" s="6"/>
    </row>
    <row r="837" spans="5:5" ht="12.75" x14ac:dyDescent="0.2">
      <c r="E837" s="6"/>
    </row>
    <row r="838" spans="5:5" ht="12.75" x14ac:dyDescent="0.2">
      <c r="E838" s="6"/>
    </row>
    <row r="839" spans="5:5" ht="12.75" x14ac:dyDescent="0.2">
      <c r="E839" s="6"/>
    </row>
    <row r="840" spans="5:5" ht="12.75" x14ac:dyDescent="0.2">
      <c r="E840" s="6"/>
    </row>
    <row r="841" spans="5:5" ht="12.75" x14ac:dyDescent="0.2">
      <c r="E841" s="6"/>
    </row>
    <row r="842" spans="5:5" ht="12.75" x14ac:dyDescent="0.2">
      <c r="E842" s="6"/>
    </row>
    <row r="843" spans="5:5" ht="12.75" x14ac:dyDescent="0.2">
      <c r="E843" s="6"/>
    </row>
    <row r="844" spans="5:5" ht="12.75" x14ac:dyDescent="0.2">
      <c r="E844" s="6"/>
    </row>
    <row r="845" spans="5:5" ht="12.75" x14ac:dyDescent="0.2">
      <c r="E845" s="6"/>
    </row>
    <row r="846" spans="5:5" ht="12.75" x14ac:dyDescent="0.2">
      <c r="E846" s="6"/>
    </row>
    <row r="847" spans="5:5" ht="12.75" x14ac:dyDescent="0.2">
      <c r="E847" s="6"/>
    </row>
    <row r="848" spans="5:5" ht="12.75" x14ac:dyDescent="0.2">
      <c r="E848" s="6"/>
    </row>
    <row r="849" spans="5:5" ht="12.75" x14ac:dyDescent="0.2">
      <c r="E849" s="6"/>
    </row>
    <row r="850" spans="5:5" ht="12.75" x14ac:dyDescent="0.2">
      <c r="E850" s="6"/>
    </row>
    <row r="851" spans="5:5" ht="12.75" x14ac:dyDescent="0.2">
      <c r="E851" s="6"/>
    </row>
    <row r="852" spans="5:5" ht="12.75" x14ac:dyDescent="0.2">
      <c r="E852" s="6"/>
    </row>
    <row r="853" spans="5:5" ht="12.75" x14ac:dyDescent="0.2">
      <c r="E853" s="6"/>
    </row>
    <row r="854" spans="5:5" ht="12.75" x14ac:dyDescent="0.2">
      <c r="E854" s="6"/>
    </row>
    <row r="855" spans="5:5" ht="12.75" x14ac:dyDescent="0.2">
      <c r="E855" s="6"/>
    </row>
    <row r="856" spans="5:5" ht="12.75" x14ac:dyDescent="0.2">
      <c r="E856" s="6"/>
    </row>
    <row r="857" spans="5:5" ht="12.75" x14ac:dyDescent="0.2">
      <c r="E857" s="6"/>
    </row>
    <row r="858" spans="5:5" ht="12.75" x14ac:dyDescent="0.2">
      <c r="E858" s="6"/>
    </row>
    <row r="859" spans="5:5" ht="12.75" x14ac:dyDescent="0.2">
      <c r="E859" s="6"/>
    </row>
    <row r="860" spans="5:5" ht="12.75" x14ac:dyDescent="0.2">
      <c r="E860" s="6"/>
    </row>
    <row r="861" spans="5:5" ht="12.75" x14ac:dyDescent="0.2">
      <c r="E861" s="6"/>
    </row>
    <row r="862" spans="5:5" ht="12.75" x14ac:dyDescent="0.2">
      <c r="E862" s="6"/>
    </row>
    <row r="863" spans="5:5" ht="12.75" x14ac:dyDescent="0.2">
      <c r="E863" s="6"/>
    </row>
    <row r="864" spans="5:5" ht="12.75" x14ac:dyDescent="0.2">
      <c r="E864" s="6"/>
    </row>
    <row r="865" spans="5:5" ht="12.75" x14ac:dyDescent="0.2">
      <c r="E865" s="6"/>
    </row>
    <row r="866" spans="5:5" ht="12.75" x14ac:dyDescent="0.2">
      <c r="E866" s="6"/>
    </row>
    <row r="867" spans="5:5" ht="12.75" x14ac:dyDescent="0.2">
      <c r="E867" s="6"/>
    </row>
    <row r="868" spans="5:5" ht="12.75" x14ac:dyDescent="0.2">
      <c r="E868" s="6"/>
    </row>
    <row r="869" spans="5:5" ht="12.75" x14ac:dyDescent="0.2">
      <c r="E869" s="6"/>
    </row>
    <row r="870" spans="5:5" ht="12.75" x14ac:dyDescent="0.2">
      <c r="E870" s="6"/>
    </row>
    <row r="871" spans="5:5" ht="12.75" x14ac:dyDescent="0.2">
      <c r="E871" s="6"/>
    </row>
    <row r="872" spans="5:5" ht="12.75" x14ac:dyDescent="0.2">
      <c r="E872" s="6"/>
    </row>
    <row r="873" spans="5:5" ht="12.75" x14ac:dyDescent="0.2">
      <c r="E873" s="6"/>
    </row>
    <row r="874" spans="5:5" ht="12.75" x14ac:dyDescent="0.2">
      <c r="E874" s="6"/>
    </row>
    <row r="875" spans="5:5" ht="12.75" x14ac:dyDescent="0.2">
      <c r="E875" s="6"/>
    </row>
    <row r="876" spans="5:5" ht="12.75" x14ac:dyDescent="0.2">
      <c r="E876" s="6"/>
    </row>
    <row r="877" spans="5:5" ht="12.75" x14ac:dyDescent="0.2">
      <c r="E877" s="6"/>
    </row>
    <row r="878" spans="5:5" ht="12.75" x14ac:dyDescent="0.2">
      <c r="E878" s="6"/>
    </row>
    <row r="879" spans="5:5" ht="12.75" x14ac:dyDescent="0.2">
      <c r="E879" s="6"/>
    </row>
    <row r="880" spans="5:5" ht="12.75" x14ac:dyDescent="0.2">
      <c r="E880" s="6"/>
    </row>
    <row r="881" spans="5:5" ht="12.75" x14ac:dyDescent="0.2">
      <c r="E881" s="6"/>
    </row>
    <row r="882" spans="5:5" ht="12.75" x14ac:dyDescent="0.2">
      <c r="E882" s="6"/>
    </row>
    <row r="883" spans="5:5" ht="12.75" x14ac:dyDescent="0.2">
      <c r="E883" s="6"/>
    </row>
    <row r="884" spans="5:5" ht="12.75" x14ac:dyDescent="0.2">
      <c r="E884" s="6"/>
    </row>
    <row r="885" spans="5:5" ht="12.75" x14ac:dyDescent="0.2">
      <c r="E885" s="6"/>
    </row>
    <row r="886" spans="5:5" ht="12.75" x14ac:dyDescent="0.2">
      <c r="E886" s="6"/>
    </row>
    <row r="887" spans="5:5" ht="12.75" x14ac:dyDescent="0.2">
      <c r="E887" s="6"/>
    </row>
    <row r="888" spans="5:5" ht="12.75" x14ac:dyDescent="0.2">
      <c r="E888" s="6"/>
    </row>
    <row r="889" spans="5:5" ht="12.75" x14ac:dyDescent="0.2">
      <c r="E889" s="6"/>
    </row>
    <row r="890" spans="5:5" ht="12.75" x14ac:dyDescent="0.2">
      <c r="E890" s="6"/>
    </row>
    <row r="891" spans="5:5" ht="12.75" x14ac:dyDescent="0.2">
      <c r="E891" s="6"/>
    </row>
    <row r="892" spans="5:5" ht="12.75" x14ac:dyDescent="0.2">
      <c r="E892" s="6"/>
    </row>
    <row r="893" spans="5:5" ht="12.75" x14ac:dyDescent="0.2">
      <c r="E893" s="6"/>
    </row>
    <row r="894" spans="5:5" ht="12.75" x14ac:dyDescent="0.2">
      <c r="E894" s="6"/>
    </row>
    <row r="895" spans="5:5" ht="12.75" x14ac:dyDescent="0.2">
      <c r="E895" s="6"/>
    </row>
    <row r="896" spans="5:5" ht="12.75" x14ac:dyDescent="0.2">
      <c r="E896" s="6"/>
    </row>
    <row r="897" spans="5:5" ht="12.75" x14ac:dyDescent="0.2">
      <c r="E897" s="6"/>
    </row>
    <row r="898" spans="5:5" ht="12.75" x14ac:dyDescent="0.2">
      <c r="E898" s="6"/>
    </row>
    <row r="899" spans="5:5" ht="12.75" x14ac:dyDescent="0.2">
      <c r="E899" s="6"/>
    </row>
    <row r="900" spans="5:5" ht="12.75" x14ac:dyDescent="0.2">
      <c r="E900" s="6"/>
    </row>
    <row r="901" spans="5:5" ht="12.75" x14ac:dyDescent="0.2">
      <c r="E901" s="6"/>
    </row>
    <row r="902" spans="5:5" ht="12.75" x14ac:dyDescent="0.2">
      <c r="E902" s="6"/>
    </row>
    <row r="903" spans="5:5" ht="12.75" x14ac:dyDescent="0.2">
      <c r="E903" s="6"/>
    </row>
    <row r="904" spans="5:5" ht="12.75" x14ac:dyDescent="0.2">
      <c r="E904" s="6"/>
    </row>
    <row r="905" spans="5:5" ht="12.75" x14ac:dyDescent="0.2">
      <c r="E905" s="6"/>
    </row>
    <row r="906" spans="5:5" ht="12.75" x14ac:dyDescent="0.2">
      <c r="E906" s="6"/>
    </row>
    <row r="907" spans="5:5" ht="12.75" x14ac:dyDescent="0.2">
      <c r="E907" s="6"/>
    </row>
    <row r="908" spans="5:5" ht="12.75" x14ac:dyDescent="0.2">
      <c r="E908" s="6"/>
    </row>
    <row r="909" spans="5:5" ht="12.75" x14ac:dyDescent="0.2">
      <c r="E909" s="6"/>
    </row>
    <row r="910" spans="5:5" ht="12.75" x14ac:dyDescent="0.2">
      <c r="E910" s="6"/>
    </row>
    <row r="911" spans="5:5" ht="12.75" x14ac:dyDescent="0.2">
      <c r="E911" s="6"/>
    </row>
    <row r="912" spans="5:5" ht="12.75" x14ac:dyDescent="0.2">
      <c r="E912" s="6"/>
    </row>
    <row r="913" spans="5:5" ht="12.75" x14ac:dyDescent="0.2">
      <c r="E913" s="6"/>
    </row>
    <row r="914" spans="5:5" ht="12.75" x14ac:dyDescent="0.2">
      <c r="E914" s="6"/>
    </row>
    <row r="915" spans="5:5" ht="12.75" x14ac:dyDescent="0.2">
      <c r="E915" s="6"/>
    </row>
    <row r="916" spans="5:5" ht="12.75" x14ac:dyDescent="0.2">
      <c r="E916" s="6"/>
    </row>
    <row r="917" spans="5:5" ht="12.75" x14ac:dyDescent="0.2">
      <c r="E917" s="6"/>
    </row>
    <row r="918" spans="5:5" ht="12.75" x14ac:dyDescent="0.2">
      <c r="E918" s="6"/>
    </row>
    <row r="919" spans="5:5" ht="12.75" x14ac:dyDescent="0.2">
      <c r="E919" s="6"/>
    </row>
    <row r="920" spans="5:5" ht="12.75" x14ac:dyDescent="0.2">
      <c r="E920" s="6"/>
    </row>
    <row r="921" spans="5:5" ht="12.75" x14ac:dyDescent="0.2">
      <c r="E921" s="6"/>
    </row>
    <row r="922" spans="5:5" ht="12.75" x14ac:dyDescent="0.2">
      <c r="E922" s="6"/>
    </row>
    <row r="923" spans="5:5" ht="12.75" x14ac:dyDescent="0.2">
      <c r="E923" s="6"/>
    </row>
    <row r="924" spans="5:5" ht="12.75" x14ac:dyDescent="0.2">
      <c r="E924" s="6"/>
    </row>
    <row r="925" spans="5:5" ht="12.75" x14ac:dyDescent="0.2">
      <c r="E925" s="6"/>
    </row>
    <row r="926" spans="5:5" ht="12.75" x14ac:dyDescent="0.2">
      <c r="E926" s="6"/>
    </row>
    <row r="927" spans="5:5" ht="12.75" x14ac:dyDescent="0.2">
      <c r="E927" s="6"/>
    </row>
    <row r="928" spans="5:5" ht="12.75" x14ac:dyDescent="0.2">
      <c r="E928" s="6"/>
    </row>
    <row r="929" spans="5:5" ht="12.75" x14ac:dyDescent="0.2">
      <c r="E929" s="6"/>
    </row>
    <row r="930" spans="5:5" ht="12.75" x14ac:dyDescent="0.2">
      <c r="E930" s="6"/>
    </row>
    <row r="931" spans="5:5" ht="12.75" x14ac:dyDescent="0.2">
      <c r="E931" s="6"/>
    </row>
  </sheetData>
  <mergeCells count="6">
    <mergeCell ref="Q7:Q8"/>
    <mergeCell ref="L7:L8"/>
    <mergeCell ref="M7:M8"/>
    <mergeCell ref="N7:N8"/>
    <mergeCell ref="O7:O8"/>
    <mergeCell ref="P7:P8"/>
  </mergeCells>
  <phoneticPr fontId="7" type="noConversion"/>
  <printOptions horizontalCentered="1" gridLines="1"/>
  <pageMargins left="0.7" right="0.7" top="0.75" bottom="0.75" header="0" footer="0"/>
  <pageSetup scale="3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858D-BA5D-4BC4-9302-4DA43E9AFCAB}">
  <dimension ref="A1:R52"/>
  <sheetViews>
    <sheetView topLeftCell="F1" workbookViewId="0">
      <selection activeCell="N4" sqref="N4"/>
    </sheetView>
  </sheetViews>
  <sheetFormatPr defaultRowHeight="12.75" x14ac:dyDescent="0.2"/>
  <cols>
    <col min="2" max="2" width="11.42578125" bestFit="1" customWidth="1"/>
    <col min="3" max="14" width="10.42578125" bestFit="1" customWidth="1"/>
  </cols>
  <sheetData>
    <row r="1" spans="1:18" ht="13.5" thickBot="1" x14ac:dyDescent="0.25">
      <c r="A1" s="77" t="s">
        <v>131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9"/>
    </row>
    <row r="2" spans="1:18" ht="51.75" thickBot="1" x14ac:dyDescent="0.25">
      <c r="A2" s="20" t="s">
        <v>132</v>
      </c>
      <c r="B2" s="21">
        <v>20</v>
      </c>
      <c r="C2" s="21">
        <v>25</v>
      </c>
      <c r="D2" s="21">
        <v>30</v>
      </c>
      <c r="E2" s="21">
        <v>40</v>
      </c>
      <c r="F2" s="21">
        <v>50</v>
      </c>
      <c r="G2" s="21">
        <v>100</v>
      </c>
      <c r="H2" s="21">
        <v>200</v>
      </c>
      <c r="I2" s="21">
        <v>300</v>
      </c>
      <c r="J2" s="21">
        <v>400</v>
      </c>
      <c r="K2" s="21">
        <v>500</v>
      </c>
      <c r="L2" s="21">
        <v>1000</v>
      </c>
      <c r="M2" s="21">
        <v>2000</v>
      </c>
      <c r="N2" s="21">
        <v>5000</v>
      </c>
      <c r="O2" s="22" t="s">
        <v>133</v>
      </c>
      <c r="P2" s="22" t="s">
        <v>1</v>
      </c>
      <c r="Q2" s="23" t="s">
        <v>134</v>
      </c>
      <c r="R2" s="24" t="s">
        <v>4</v>
      </c>
    </row>
    <row r="3" spans="1:18" x14ac:dyDescent="0.2">
      <c r="A3" s="17" t="s">
        <v>9</v>
      </c>
      <c r="B3" s="17"/>
      <c r="C3" s="17"/>
      <c r="D3" s="18">
        <v>272</v>
      </c>
      <c r="E3" s="17"/>
      <c r="F3" s="18">
        <v>250.7</v>
      </c>
      <c r="G3" s="18">
        <v>235.6</v>
      </c>
      <c r="H3" s="18">
        <v>220.3</v>
      </c>
      <c r="I3" s="17"/>
      <c r="J3" s="17"/>
      <c r="K3" s="18">
        <v>190</v>
      </c>
      <c r="L3" s="18">
        <v>161.30000000000001</v>
      </c>
      <c r="M3" s="18">
        <v>119.3</v>
      </c>
      <c r="N3" s="18">
        <v>46.1</v>
      </c>
      <c r="O3" s="18">
        <v>3.25</v>
      </c>
      <c r="P3" s="18">
        <v>3.99</v>
      </c>
      <c r="Q3" s="18">
        <v>57.4</v>
      </c>
      <c r="R3" s="19" t="s">
        <v>6</v>
      </c>
    </row>
    <row r="4" spans="1:18" x14ac:dyDescent="0.2">
      <c r="A4" s="17" t="s">
        <v>7</v>
      </c>
      <c r="B4" s="17"/>
      <c r="C4" s="17"/>
      <c r="D4" s="18">
        <v>299.39999999999998</v>
      </c>
      <c r="E4" s="17"/>
      <c r="F4" s="18">
        <v>288.5</v>
      </c>
      <c r="G4" s="18">
        <v>282.5</v>
      </c>
      <c r="H4" s="18">
        <v>272.5</v>
      </c>
      <c r="I4" s="17"/>
      <c r="J4" s="17"/>
      <c r="K4" s="18">
        <v>259.5</v>
      </c>
      <c r="L4" s="18">
        <v>242.4</v>
      </c>
      <c r="M4" s="18">
        <v>220.5</v>
      </c>
      <c r="N4" s="18">
        <v>136.6</v>
      </c>
      <c r="O4" s="18">
        <v>2.52</v>
      </c>
      <c r="P4" s="18">
        <v>3.73</v>
      </c>
      <c r="Q4" s="18">
        <v>3.2</v>
      </c>
      <c r="R4" s="17"/>
    </row>
    <row r="5" spans="1:18" x14ac:dyDescent="0.2">
      <c r="A5" s="17" t="s">
        <v>13</v>
      </c>
      <c r="B5" s="18">
        <v>258</v>
      </c>
      <c r="C5" s="17"/>
      <c r="D5" s="17"/>
      <c r="E5" s="17"/>
      <c r="F5" s="18">
        <v>234</v>
      </c>
      <c r="G5" s="18">
        <v>152</v>
      </c>
      <c r="H5" s="18">
        <v>72</v>
      </c>
      <c r="I5" s="17"/>
      <c r="J5" s="17"/>
      <c r="K5" s="17"/>
      <c r="L5" s="17"/>
      <c r="M5" s="17"/>
      <c r="N5" s="17"/>
      <c r="O5" s="17"/>
      <c r="P5" s="17"/>
      <c r="Q5" s="17"/>
      <c r="R5" s="19" t="s">
        <v>11</v>
      </c>
    </row>
    <row r="6" spans="1:18" ht="25.5" x14ac:dyDescent="0.2">
      <c r="A6" s="17" t="s">
        <v>21</v>
      </c>
      <c r="B6" s="17"/>
      <c r="C6" s="17"/>
      <c r="D6" s="17"/>
      <c r="E6" s="17"/>
      <c r="F6" s="18">
        <v>254.33</v>
      </c>
      <c r="G6" s="18">
        <v>229.16</v>
      </c>
      <c r="H6" s="18">
        <v>201.91</v>
      </c>
      <c r="I6" s="17"/>
      <c r="J6" s="17"/>
      <c r="K6" s="18">
        <v>141.69</v>
      </c>
      <c r="L6" s="18">
        <v>101.84</v>
      </c>
      <c r="M6" s="18">
        <v>81.81</v>
      </c>
      <c r="N6" s="18">
        <v>60.66</v>
      </c>
      <c r="O6" s="18">
        <v>0.41</v>
      </c>
      <c r="P6" s="18">
        <v>3.8129</v>
      </c>
      <c r="Q6" s="18">
        <v>9.0250000000000004</v>
      </c>
      <c r="R6" s="19" t="s">
        <v>135</v>
      </c>
    </row>
    <row r="7" spans="1:18" ht="25.5" x14ac:dyDescent="0.2">
      <c r="A7" s="17" t="s">
        <v>22</v>
      </c>
      <c r="B7" s="17"/>
      <c r="C7" s="17"/>
      <c r="D7" s="17"/>
      <c r="E7" s="17"/>
      <c r="F7" s="18">
        <v>339.21</v>
      </c>
      <c r="G7" s="18">
        <v>310.14</v>
      </c>
      <c r="H7" s="18">
        <v>262.82</v>
      </c>
      <c r="I7" s="17"/>
      <c r="J7" s="17"/>
      <c r="K7" s="18">
        <v>225.97</v>
      </c>
      <c r="L7" s="18">
        <v>150.18</v>
      </c>
      <c r="M7" s="18">
        <v>114.44</v>
      </c>
      <c r="N7" s="18">
        <v>94.45</v>
      </c>
      <c r="O7" s="18">
        <v>0.48</v>
      </c>
      <c r="P7" s="18">
        <v>3.7422</v>
      </c>
      <c r="Q7" s="18">
        <v>4.6920000000000002</v>
      </c>
      <c r="R7" s="17"/>
    </row>
    <row r="8" spans="1:18" ht="25.5" x14ac:dyDescent="0.2">
      <c r="A8" s="17" t="s">
        <v>136</v>
      </c>
      <c r="B8" s="17"/>
      <c r="C8" s="17"/>
      <c r="D8" s="17"/>
      <c r="E8" s="17"/>
      <c r="F8" s="17"/>
      <c r="G8" s="18">
        <v>346.8</v>
      </c>
      <c r="H8" s="18">
        <v>325.89999999999998</v>
      </c>
      <c r="I8" s="17"/>
      <c r="J8" s="17"/>
      <c r="K8" s="18">
        <v>313.5</v>
      </c>
      <c r="L8" s="18">
        <v>299.39999999999998</v>
      </c>
      <c r="M8" s="18">
        <v>271.60000000000002</v>
      </c>
      <c r="N8" s="18">
        <v>135</v>
      </c>
      <c r="O8" s="18">
        <v>3.12</v>
      </c>
      <c r="P8" s="18">
        <v>3.94</v>
      </c>
      <c r="Q8" s="18">
        <v>142.80000000000001</v>
      </c>
      <c r="R8" s="19" t="s">
        <v>44</v>
      </c>
    </row>
    <row r="9" spans="1:18" x14ac:dyDescent="0.2">
      <c r="A9" s="17" t="s">
        <v>64</v>
      </c>
      <c r="B9" s="18">
        <v>298.7</v>
      </c>
      <c r="C9" s="17"/>
      <c r="D9" s="17"/>
      <c r="E9" s="17"/>
      <c r="F9" s="18">
        <v>273.10000000000002</v>
      </c>
      <c r="G9" s="18">
        <v>236.5</v>
      </c>
      <c r="H9" s="18">
        <v>196.7</v>
      </c>
      <c r="I9" s="17"/>
      <c r="J9" s="17"/>
      <c r="K9" s="18">
        <v>146.69999999999999</v>
      </c>
      <c r="L9" s="18">
        <v>91.9</v>
      </c>
      <c r="M9" s="18">
        <v>61.5</v>
      </c>
      <c r="N9" s="18">
        <v>41.7</v>
      </c>
      <c r="O9" s="18">
        <v>1.02</v>
      </c>
      <c r="P9" s="18">
        <v>4.4000000000000004</v>
      </c>
      <c r="Q9" s="18">
        <v>1.86</v>
      </c>
      <c r="R9" s="19" t="s">
        <v>137</v>
      </c>
    </row>
    <row r="10" spans="1:18" x14ac:dyDescent="0.2">
      <c r="A10" s="17" t="s">
        <v>65</v>
      </c>
      <c r="B10" s="17"/>
      <c r="C10" s="17"/>
      <c r="D10" s="17"/>
      <c r="E10" s="17"/>
      <c r="F10" s="17"/>
      <c r="G10" s="18">
        <v>144</v>
      </c>
      <c r="H10" s="18">
        <v>125</v>
      </c>
      <c r="I10" s="17"/>
      <c r="J10" s="17"/>
      <c r="K10" s="18">
        <v>90</v>
      </c>
      <c r="L10" s="18">
        <v>77</v>
      </c>
      <c r="M10" s="18">
        <v>60</v>
      </c>
      <c r="N10" s="17"/>
      <c r="O10" s="18">
        <v>0.91</v>
      </c>
      <c r="P10" s="18">
        <v>3.35</v>
      </c>
      <c r="Q10" s="18">
        <v>1295.21</v>
      </c>
      <c r="R10" s="19" t="s">
        <v>66</v>
      </c>
    </row>
    <row r="11" spans="1:18" ht="25.5" x14ac:dyDescent="0.2">
      <c r="A11" s="17" t="s">
        <v>67</v>
      </c>
      <c r="B11" s="17"/>
      <c r="C11" s="17"/>
      <c r="D11" s="17"/>
      <c r="E11" s="17"/>
      <c r="F11" s="17"/>
      <c r="G11" s="18">
        <v>255</v>
      </c>
      <c r="H11" s="18">
        <v>220</v>
      </c>
      <c r="I11" s="17"/>
      <c r="J11" s="17"/>
      <c r="K11" s="18">
        <v>151</v>
      </c>
      <c r="L11" s="18">
        <v>109</v>
      </c>
      <c r="M11" s="18">
        <v>80</v>
      </c>
      <c r="N11" s="17"/>
      <c r="O11" s="18">
        <v>0.98</v>
      </c>
      <c r="P11" s="18">
        <v>3.67</v>
      </c>
      <c r="Q11" s="18">
        <v>111.58</v>
      </c>
      <c r="R11" s="17"/>
    </row>
    <row r="12" spans="1:18" x14ac:dyDescent="0.2">
      <c r="A12" s="17" t="s">
        <v>72</v>
      </c>
      <c r="B12" s="17"/>
      <c r="C12" s="18">
        <v>345</v>
      </c>
      <c r="D12" s="17"/>
      <c r="E12" s="17"/>
      <c r="F12" s="18">
        <v>320</v>
      </c>
      <c r="G12" s="18">
        <v>302</v>
      </c>
      <c r="H12" s="18">
        <v>250</v>
      </c>
      <c r="I12" s="18">
        <v>179</v>
      </c>
      <c r="J12" s="17"/>
      <c r="K12" s="17"/>
      <c r="L12" s="17"/>
      <c r="M12" s="17"/>
      <c r="N12" s="17"/>
      <c r="O12" s="17"/>
      <c r="P12" s="17"/>
      <c r="Q12" s="17"/>
      <c r="R12" s="19" t="s">
        <v>69</v>
      </c>
    </row>
    <row r="13" spans="1:18" ht="25.5" x14ac:dyDescent="0.2">
      <c r="A13" s="17" t="s">
        <v>138</v>
      </c>
      <c r="B13" s="18">
        <v>235</v>
      </c>
      <c r="C13" s="17"/>
      <c r="D13" s="17"/>
      <c r="E13" s="18">
        <v>222</v>
      </c>
      <c r="F13" s="17"/>
      <c r="G13" s="18">
        <v>202</v>
      </c>
      <c r="H13" s="18">
        <v>181</v>
      </c>
      <c r="I13" s="17"/>
      <c r="J13" s="18">
        <v>155</v>
      </c>
      <c r="K13" s="17"/>
      <c r="L13" s="18">
        <v>112</v>
      </c>
      <c r="M13" s="18">
        <v>86</v>
      </c>
      <c r="N13" s="17"/>
      <c r="O13" s="18">
        <v>2.74</v>
      </c>
      <c r="P13" s="18">
        <v>3.85</v>
      </c>
      <c r="Q13" s="18">
        <v>196.3</v>
      </c>
      <c r="R13" s="19" t="s">
        <v>91</v>
      </c>
    </row>
    <row r="14" spans="1:18" x14ac:dyDescent="0.2">
      <c r="A14" s="17" t="s">
        <v>94</v>
      </c>
      <c r="B14" s="17"/>
      <c r="C14" s="17"/>
      <c r="D14" s="17"/>
      <c r="E14" s="17"/>
      <c r="F14" s="18">
        <v>292.3</v>
      </c>
      <c r="G14" s="18">
        <v>281.2</v>
      </c>
      <c r="H14" s="18">
        <v>266.5</v>
      </c>
      <c r="I14" s="17"/>
      <c r="J14" s="17"/>
      <c r="K14" s="18">
        <v>228.7</v>
      </c>
      <c r="L14" s="18">
        <v>183.4</v>
      </c>
      <c r="M14" s="18">
        <v>121.7</v>
      </c>
      <c r="N14" s="17"/>
      <c r="O14" s="18">
        <v>1.35</v>
      </c>
      <c r="P14" s="18">
        <v>3.84</v>
      </c>
      <c r="Q14" s="18">
        <v>22.167999999999999</v>
      </c>
      <c r="R14" s="19" t="s">
        <v>93</v>
      </c>
    </row>
    <row r="15" spans="1:18" ht="25.5" x14ac:dyDescent="0.2">
      <c r="A15" s="17" t="s">
        <v>102</v>
      </c>
      <c r="B15" s="17"/>
      <c r="C15" s="17"/>
      <c r="D15" s="17"/>
      <c r="E15" s="17"/>
      <c r="F15" s="17"/>
      <c r="G15" s="18">
        <v>305.5</v>
      </c>
      <c r="H15" s="18">
        <v>270.8</v>
      </c>
      <c r="I15" s="17"/>
      <c r="J15" s="17"/>
      <c r="K15" s="18">
        <v>233.4</v>
      </c>
      <c r="L15" s="18">
        <v>192</v>
      </c>
      <c r="M15" s="18">
        <v>167</v>
      </c>
      <c r="N15" s="18">
        <v>136.6</v>
      </c>
      <c r="O15" s="18">
        <v>1.05</v>
      </c>
      <c r="P15" s="18">
        <v>3.69</v>
      </c>
      <c r="Q15" s="18">
        <v>1988.9</v>
      </c>
      <c r="R15" s="19" t="s">
        <v>98</v>
      </c>
    </row>
    <row r="16" spans="1:18" ht="25.5" x14ac:dyDescent="0.2">
      <c r="A16" s="17" t="s">
        <v>100</v>
      </c>
      <c r="B16" s="17"/>
      <c r="C16" s="17"/>
      <c r="D16" s="17"/>
      <c r="E16" s="17"/>
      <c r="F16" s="17"/>
      <c r="G16" s="18">
        <v>264.60000000000002</v>
      </c>
      <c r="H16" s="18">
        <v>232.4</v>
      </c>
      <c r="I16" s="17"/>
      <c r="J16" s="17"/>
      <c r="K16" s="18">
        <v>198.2</v>
      </c>
      <c r="L16" s="18">
        <v>149.5</v>
      </c>
      <c r="M16" s="18">
        <v>105.3</v>
      </c>
      <c r="N16" s="18">
        <v>58.1</v>
      </c>
      <c r="O16" s="18">
        <v>1.69</v>
      </c>
      <c r="P16" s="18">
        <v>3.83</v>
      </c>
      <c r="Q16" s="18">
        <v>253.46</v>
      </c>
      <c r="R16" s="17"/>
    </row>
    <row r="17" spans="1:18" x14ac:dyDescent="0.2">
      <c r="A17" s="17" t="s">
        <v>159</v>
      </c>
      <c r="B17" s="17"/>
      <c r="C17" s="17"/>
      <c r="D17" s="17"/>
      <c r="E17" s="17"/>
      <c r="F17" s="17"/>
      <c r="G17" s="17">
        <v>231</v>
      </c>
      <c r="H17" s="17">
        <v>190</v>
      </c>
      <c r="I17" s="17"/>
      <c r="J17" s="17"/>
      <c r="K17" s="17">
        <v>139</v>
      </c>
      <c r="L17" s="17">
        <v>102</v>
      </c>
      <c r="M17" s="17">
        <v>75</v>
      </c>
      <c r="N17" s="17">
        <v>40</v>
      </c>
      <c r="O17" s="17"/>
      <c r="P17" s="17"/>
      <c r="Q17" s="17"/>
      <c r="R17" s="17"/>
    </row>
    <row r="18" spans="1:18" ht="13.5" thickBo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3.5" thickBot="1" x14ac:dyDescent="0.25">
      <c r="A19" s="77" t="s">
        <v>139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9"/>
    </row>
    <row r="20" spans="1:18" ht="51.75" thickBot="1" x14ac:dyDescent="0.25">
      <c r="A20" s="20" t="s">
        <v>132</v>
      </c>
      <c r="B20" s="21" t="s">
        <v>140</v>
      </c>
      <c r="C20" s="21" t="s">
        <v>141</v>
      </c>
      <c r="D20" s="21" t="s">
        <v>142</v>
      </c>
      <c r="E20" s="21" t="s">
        <v>143</v>
      </c>
      <c r="F20" s="21" t="s">
        <v>144</v>
      </c>
      <c r="G20" s="21" t="s">
        <v>145</v>
      </c>
      <c r="H20" s="21" t="s">
        <v>146</v>
      </c>
      <c r="I20" s="21" t="s">
        <v>147</v>
      </c>
      <c r="J20" s="21" t="s">
        <v>148</v>
      </c>
      <c r="K20" s="21" t="s">
        <v>149</v>
      </c>
      <c r="L20" s="21" t="s">
        <v>150</v>
      </c>
      <c r="M20" s="21" t="s">
        <v>151</v>
      </c>
      <c r="N20" s="21" t="s">
        <v>152</v>
      </c>
      <c r="O20" s="22" t="s">
        <v>133</v>
      </c>
      <c r="P20" s="22" t="s">
        <v>1</v>
      </c>
      <c r="Q20" s="23" t="s">
        <v>134</v>
      </c>
      <c r="R20" s="24" t="s">
        <v>4</v>
      </c>
    </row>
    <row r="21" spans="1:18" ht="13.5" thickBot="1" x14ac:dyDescent="0.25">
      <c r="A21" s="25" t="s">
        <v>9</v>
      </c>
      <c r="B21" s="25"/>
      <c r="C21" s="25"/>
      <c r="D21" s="26">
        <v>1.1545000000000001</v>
      </c>
      <c r="E21" s="25"/>
      <c r="F21" s="26">
        <v>1.0641</v>
      </c>
      <c r="G21" s="26">
        <v>1</v>
      </c>
      <c r="H21" s="26">
        <v>0.93510000000000004</v>
      </c>
      <c r="I21" s="25"/>
      <c r="J21" s="25"/>
      <c r="K21" s="26">
        <v>0.80649999999999999</v>
      </c>
      <c r="L21" s="26">
        <v>0.68459999999999999</v>
      </c>
      <c r="M21" s="26">
        <v>0.50639999999999996</v>
      </c>
      <c r="N21" s="26">
        <v>0.19570000000000001</v>
      </c>
      <c r="O21" s="26">
        <v>3.25</v>
      </c>
      <c r="P21" s="26">
        <v>3.99</v>
      </c>
      <c r="Q21" s="26">
        <v>57.4</v>
      </c>
      <c r="R21" s="27" t="s">
        <v>6</v>
      </c>
    </row>
    <row r="22" spans="1:18" ht="13.5" thickBot="1" x14ac:dyDescent="0.25">
      <c r="A22" s="14" t="s">
        <v>8</v>
      </c>
      <c r="B22" s="14"/>
      <c r="C22" s="14"/>
      <c r="D22" s="15">
        <v>1.0598000000000001</v>
      </c>
      <c r="E22" s="14"/>
      <c r="F22" s="15">
        <v>1.0212000000000001</v>
      </c>
      <c r="G22" s="15">
        <v>1</v>
      </c>
      <c r="H22" s="15">
        <v>0.96460000000000001</v>
      </c>
      <c r="I22" s="14"/>
      <c r="J22" s="14"/>
      <c r="K22" s="15">
        <v>0.91859999999999997</v>
      </c>
      <c r="L22" s="15">
        <v>0.85809999999999997</v>
      </c>
      <c r="M22" s="15">
        <v>0.78049999999999997</v>
      </c>
      <c r="N22" s="15">
        <v>0.48349999999999999</v>
      </c>
      <c r="O22" s="15">
        <v>2.52</v>
      </c>
      <c r="P22" s="15">
        <v>3.73</v>
      </c>
      <c r="Q22" s="15">
        <v>3.2</v>
      </c>
      <c r="R22" s="14"/>
    </row>
    <row r="23" spans="1:18" ht="13.5" thickBot="1" x14ac:dyDescent="0.25">
      <c r="A23" s="14" t="s">
        <v>13</v>
      </c>
      <c r="B23" s="15">
        <v>1.6974</v>
      </c>
      <c r="C23" s="14"/>
      <c r="D23" s="14"/>
      <c r="E23" s="14"/>
      <c r="F23" s="15">
        <v>1.5395000000000001</v>
      </c>
      <c r="G23" s="15">
        <v>1</v>
      </c>
      <c r="H23" s="15">
        <v>0.47370000000000001</v>
      </c>
      <c r="I23" s="14"/>
      <c r="J23" s="14"/>
      <c r="K23" s="14"/>
      <c r="L23" s="14"/>
      <c r="M23" s="14"/>
      <c r="N23" s="14"/>
      <c r="O23" s="14"/>
      <c r="P23" s="14"/>
      <c r="Q23" s="14"/>
      <c r="R23" s="16" t="s">
        <v>11</v>
      </c>
    </row>
    <row r="24" spans="1:18" ht="26.25" thickBot="1" x14ac:dyDescent="0.25">
      <c r="A24" s="14" t="s">
        <v>21</v>
      </c>
      <c r="B24" s="14"/>
      <c r="C24" s="14"/>
      <c r="D24" s="14"/>
      <c r="E24" s="14"/>
      <c r="F24" s="15">
        <v>1.1097999999999999</v>
      </c>
      <c r="G24" s="15">
        <v>1</v>
      </c>
      <c r="H24" s="15">
        <v>0.88109999999999999</v>
      </c>
      <c r="I24" s="14"/>
      <c r="J24" s="14"/>
      <c r="K24" s="15">
        <v>0.61829999999999996</v>
      </c>
      <c r="L24" s="15">
        <v>0.44440000000000002</v>
      </c>
      <c r="M24" s="15">
        <v>0.35699999999999998</v>
      </c>
      <c r="N24" s="15">
        <v>0.26469999999999999</v>
      </c>
      <c r="O24" s="15">
        <v>0.41</v>
      </c>
      <c r="P24" s="15">
        <v>3.8129</v>
      </c>
      <c r="Q24" s="15">
        <v>9.0250000000000004</v>
      </c>
      <c r="R24" s="16" t="s">
        <v>135</v>
      </c>
    </row>
    <row r="25" spans="1:18" ht="26.25" thickBot="1" x14ac:dyDescent="0.25">
      <c r="A25" s="14" t="s">
        <v>22</v>
      </c>
      <c r="B25" s="14"/>
      <c r="C25" s="14"/>
      <c r="D25" s="14"/>
      <c r="E25" s="14"/>
      <c r="F25" s="15">
        <v>1.0936999999999999</v>
      </c>
      <c r="G25" s="15">
        <v>1</v>
      </c>
      <c r="H25" s="15">
        <v>0.84740000000000004</v>
      </c>
      <c r="I25" s="14"/>
      <c r="J25" s="14"/>
      <c r="K25" s="15">
        <v>0.72860000000000003</v>
      </c>
      <c r="L25" s="15">
        <v>0.48420000000000002</v>
      </c>
      <c r="M25" s="15">
        <v>0.36899999999999999</v>
      </c>
      <c r="N25" s="15">
        <v>0.30449999999999999</v>
      </c>
      <c r="O25" s="15">
        <v>0.48</v>
      </c>
      <c r="P25" s="15">
        <v>3.7422</v>
      </c>
      <c r="Q25" s="15">
        <v>4.6920000000000002</v>
      </c>
      <c r="R25" s="14"/>
    </row>
    <row r="26" spans="1:18" ht="26.25" thickBot="1" x14ac:dyDescent="0.25">
      <c r="A26" s="14" t="s">
        <v>136</v>
      </c>
      <c r="B26" s="14"/>
      <c r="C26" s="14"/>
      <c r="D26" s="14"/>
      <c r="E26" s="14"/>
      <c r="F26" s="14"/>
      <c r="G26" s="15">
        <v>1</v>
      </c>
      <c r="H26" s="15">
        <v>0.93969999999999998</v>
      </c>
      <c r="I26" s="14"/>
      <c r="J26" s="14"/>
      <c r="K26" s="15">
        <v>0.90400000000000003</v>
      </c>
      <c r="L26" s="15">
        <v>0.86329999999999996</v>
      </c>
      <c r="M26" s="15">
        <v>0.78320000000000001</v>
      </c>
      <c r="N26" s="15">
        <v>0.38929999999999998</v>
      </c>
      <c r="O26" s="15">
        <v>3.12</v>
      </c>
      <c r="P26" s="15">
        <v>3.94</v>
      </c>
      <c r="Q26" s="15">
        <v>142.80000000000001</v>
      </c>
      <c r="R26" s="16" t="s">
        <v>44</v>
      </c>
    </row>
    <row r="27" spans="1:18" ht="13.5" thickBot="1" x14ac:dyDescent="0.25">
      <c r="A27" s="14" t="s">
        <v>64</v>
      </c>
      <c r="B27" s="15">
        <v>1.2629999999999999</v>
      </c>
      <c r="C27" s="14"/>
      <c r="D27" s="14"/>
      <c r="E27" s="14"/>
      <c r="F27" s="15">
        <v>1.1548</v>
      </c>
      <c r="G27" s="15">
        <v>1</v>
      </c>
      <c r="H27" s="15">
        <v>0.83169999999999999</v>
      </c>
      <c r="I27" s="14"/>
      <c r="J27" s="14"/>
      <c r="K27" s="15">
        <v>0.62029999999999996</v>
      </c>
      <c r="L27" s="15">
        <v>0.3886</v>
      </c>
      <c r="M27" s="15">
        <v>0.26</v>
      </c>
      <c r="N27" s="15">
        <v>0.17630000000000001</v>
      </c>
      <c r="O27" s="15">
        <v>1.02</v>
      </c>
      <c r="P27" s="15">
        <v>4.4000000000000004</v>
      </c>
      <c r="Q27" s="15">
        <v>1.86</v>
      </c>
      <c r="R27" s="16" t="s">
        <v>137</v>
      </c>
    </row>
    <row r="28" spans="1:18" ht="13.5" thickBot="1" x14ac:dyDescent="0.25">
      <c r="A28" s="14" t="s">
        <v>65</v>
      </c>
      <c r="B28" s="14"/>
      <c r="C28" s="14"/>
      <c r="D28" s="14"/>
      <c r="E28" s="14"/>
      <c r="F28" s="14"/>
      <c r="G28" s="15">
        <v>1</v>
      </c>
      <c r="H28" s="15">
        <v>0.86809999999999998</v>
      </c>
      <c r="I28" s="14"/>
      <c r="J28" s="14"/>
      <c r="K28" s="15">
        <v>0.625</v>
      </c>
      <c r="L28" s="15">
        <v>0.53469999999999995</v>
      </c>
      <c r="M28" s="15">
        <v>0.41670000000000001</v>
      </c>
      <c r="N28" s="14"/>
      <c r="O28" s="15">
        <v>0.91</v>
      </c>
      <c r="P28" s="15">
        <v>3.35</v>
      </c>
      <c r="Q28" s="15">
        <v>1295.21</v>
      </c>
      <c r="R28" s="16" t="s">
        <v>66</v>
      </c>
    </row>
    <row r="29" spans="1:18" ht="26.25" thickBot="1" x14ac:dyDescent="0.25">
      <c r="A29" s="14" t="s">
        <v>67</v>
      </c>
      <c r="B29" s="14"/>
      <c r="C29" s="14"/>
      <c r="D29" s="14"/>
      <c r="E29" s="14"/>
      <c r="F29" s="14"/>
      <c r="G29" s="15">
        <v>1</v>
      </c>
      <c r="H29" s="15">
        <v>0.86270000000000002</v>
      </c>
      <c r="I29" s="14"/>
      <c r="J29" s="14"/>
      <c r="K29" s="15">
        <v>0.59219999999999995</v>
      </c>
      <c r="L29" s="15">
        <v>0.42749999999999999</v>
      </c>
      <c r="M29" s="15">
        <v>0.31369999999999998</v>
      </c>
      <c r="N29" s="14"/>
      <c r="O29" s="15">
        <v>0.98</v>
      </c>
      <c r="P29" s="15">
        <v>3.67</v>
      </c>
      <c r="Q29" s="15">
        <v>111.58</v>
      </c>
      <c r="R29" s="14"/>
    </row>
    <row r="30" spans="1:18" ht="13.5" thickBot="1" x14ac:dyDescent="0.25">
      <c r="A30" s="14" t="s">
        <v>72</v>
      </c>
      <c r="B30" s="14"/>
      <c r="C30" s="15">
        <v>1.1424000000000001</v>
      </c>
      <c r="D30" s="14"/>
      <c r="E30" s="14"/>
      <c r="F30" s="15">
        <v>1.0596000000000001</v>
      </c>
      <c r="G30" s="15">
        <v>1</v>
      </c>
      <c r="H30" s="15">
        <v>0.82779999999999998</v>
      </c>
      <c r="I30" s="15">
        <v>0.5927</v>
      </c>
      <c r="J30" s="14"/>
      <c r="K30" s="14"/>
      <c r="L30" s="14"/>
      <c r="M30" s="14"/>
      <c r="N30" s="14"/>
      <c r="O30" s="14"/>
      <c r="P30" s="14"/>
      <c r="Q30" s="14"/>
      <c r="R30" s="16" t="s">
        <v>69</v>
      </c>
    </row>
    <row r="31" spans="1:18" ht="26.25" thickBot="1" x14ac:dyDescent="0.25">
      <c r="A31" s="14" t="s">
        <v>138</v>
      </c>
      <c r="B31" s="15">
        <v>1.1634</v>
      </c>
      <c r="C31" s="14"/>
      <c r="D31" s="14"/>
      <c r="E31" s="15">
        <v>1.099</v>
      </c>
      <c r="F31" s="14"/>
      <c r="G31" s="15">
        <v>1</v>
      </c>
      <c r="H31" s="15">
        <v>0.89600000000000002</v>
      </c>
      <c r="I31" s="14"/>
      <c r="J31" s="15">
        <v>0.76729999999999998</v>
      </c>
      <c r="K31" s="14"/>
      <c r="L31" s="15">
        <v>0.55449999999999999</v>
      </c>
      <c r="M31" s="15">
        <v>0.42570000000000002</v>
      </c>
      <c r="N31" s="14"/>
      <c r="O31" s="15">
        <v>2.74</v>
      </c>
      <c r="P31" s="15">
        <v>3.85</v>
      </c>
      <c r="Q31" s="15">
        <v>196.3</v>
      </c>
      <c r="R31" s="16" t="s">
        <v>91</v>
      </c>
    </row>
    <row r="32" spans="1:18" ht="13.5" thickBot="1" x14ac:dyDescent="0.25">
      <c r="A32" s="14" t="s">
        <v>94</v>
      </c>
      <c r="B32" s="14"/>
      <c r="C32" s="14"/>
      <c r="D32" s="14"/>
      <c r="E32" s="14"/>
      <c r="F32" s="15">
        <v>1.0395000000000001</v>
      </c>
      <c r="G32" s="15">
        <v>1</v>
      </c>
      <c r="H32" s="15">
        <v>0.94769999999999999</v>
      </c>
      <c r="I32" s="14"/>
      <c r="J32" s="14"/>
      <c r="K32" s="15">
        <v>0.81330000000000002</v>
      </c>
      <c r="L32" s="15">
        <v>0.6522</v>
      </c>
      <c r="M32" s="15">
        <v>0.43280000000000002</v>
      </c>
      <c r="N32" s="14"/>
      <c r="O32" s="15">
        <v>1.35</v>
      </c>
      <c r="P32" s="15">
        <v>3.84</v>
      </c>
      <c r="Q32" s="15">
        <v>22.167999999999999</v>
      </c>
      <c r="R32" s="16" t="s">
        <v>93</v>
      </c>
    </row>
    <row r="33" spans="1:18" ht="26.25" thickBot="1" x14ac:dyDescent="0.25">
      <c r="A33" s="14" t="s">
        <v>102</v>
      </c>
      <c r="B33" s="14"/>
      <c r="C33" s="14"/>
      <c r="D33" s="14"/>
      <c r="E33" s="14"/>
      <c r="F33" s="14"/>
      <c r="G33" s="15">
        <v>1</v>
      </c>
      <c r="H33" s="15">
        <v>0.88639999999999997</v>
      </c>
      <c r="I33" s="14"/>
      <c r="J33" s="14"/>
      <c r="K33" s="15">
        <v>0.76400000000000001</v>
      </c>
      <c r="L33" s="15">
        <v>0.62849999999999995</v>
      </c>
      <c r="M33" s="15">
        <v>0.54659999999999997</v>
      </c>
      <c r="N33" s="15">
        <v>0.4471</v>
      </c>
      <c r="O33" s="15">
        <v>1.05</v>
      </c>
      <c r="P33" s="15">
        <v>3.69</v>
      </c>
      <c r="Q33" s="15">
        <v>1988.9</v>
      </c>
      <c r="R33" s="16" t="s">
        <v>98</v>
      </c>
    </row>
    <row r="34" spans="1:18" ht="26.25" thickBot="1" x14ac:dyDescent="0.25">
      <c r="A34" s="14" t="s">
        <v>100</v>
      </c>
      <c r="B34" s="14"/>
      <c r="C34" s="14"/>
      <c r="D34" s="14"/>
      <c r="E34" s="14"/>
      <c r="F34" s="14"/>
      <c r="G34" s="15">
        <v>1</v>
      </c>
      <c r="H34" s="15">
        <v>0.87829999999999997</v>
      </c>
      <c r="I34" s="14"/>
      <c r="J34" s="14"/>
      <c r="K34" s="15">
        <v>0.74909999999999999</v>
      </c>
      <c r="L34" s="15">
        <v>0.56499999999999995</v>
      </c>
      <c r="M34" s="15">
        <v>0.39800000000000002</v>
      </c>
      <c r="N34" s="15">
        <v>0.21959999999999999</v>
      </c>
      <c r="O34" s="15">
        <v>1.69</v>
      </c>
      <c r="P34" s="15">
        <v>3.83</v>
      </c>
      <c r="Q34" s="15">
        <v>253.46</v>
      </c>
      <c r="R34" s="14"/>
    </row>
    <row r="35" spans="1:18" ht="13.5" thickBot="1" x14ac:dyDescent="0.25"/>
    <row r="36" spans="1:18" ht="13.5" thickBot="1" x14ac:dyDescent="0.25">
      <c r="A36" s="77" t="s">
        <v>158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9"/>
    </row>
    <row r="37" spans="1:18" ht="51.75" thickBot="1" x14ac:dyDescent="0.25">
      <c r="A37" s="20" t="s">
        <v>132</v>
      </c>
      <c r="B37" s="21">
        <v>20</v>
      </c>
      <c r="C37" s="21">
        <v>25</v>
      </c>
      <c r="D37" s="21">
        <v>30</v>
      </c>
      <c r="E37" s="21">
        <v>40</v>
      </c>
      <c r="F37" s="21">
        <v>50</v>
      </c>
      <c r="G37" s="21">
        <v>100</v>
      </c>
      <c r="H37" s="21">
        <v>200</v>
      </c>
      <c r="I37" s="21">
        <v>300</v>
      </c>
      <c r="J37" s="21">
        <v>400</v>
      </c>
      <c r="K37" s="21">
        <v>500</v>
      </c>
      <c r="L37" s="21">
        <v>1000</v>
      </c>
      <c r="M37" s="21">
        <v>2000</v>
      </c>
      <c r="N37" s="21">
        <v>5000</v>
      </c>
      <c r="O37" s="22" t="s">
        <v>133</v>
      </c>
      <c r="P37" s="22" t="s">
        <v>1</v>
      </c>
      <c r="Q37" s="23" t="s">
        <v>134</v>
      </c>
      <c r="R37" s="24" t="s">
        <v>4</v>
      </c>
    </row>
    <row r="38" spans="1:18" ht="13.5" thickBot="1" x14ac:dyDescent="0.25">
      <c r="A38" s="20"/>
      <c r="B38" s="36">
        <f>LOG(B37)</f>
        <v>1.3010299956639813</v>
      </c>
      <c r="C38" s="36">
        <f t="shared" ref="C38:N38" si="0">LOG(C37)</f>
        <v>1.3979400086720377</v>
      </c>
      <c r="D38" s="36">
        <f t="shared" si="0"/>
        <v>1.4771212547196624</v>
      </c>
      <c r="E38" s="36">
        <f t="shared" si="0"/>
        <v>1.6020599913279623</v>
      </c>
      <c r="F38" s="36">
        <f t="shared" si="0"/>
        <v>1.6989700043360187</v>
      </c>
      <c r="G38" s="36">
        <f t="shared" si="0"/>
        <v>2</v>
      </c>
      <c r="H38" s="36">
        <f t="shared" si="0"/>
        <v>2.3010299956639813</v>
      </c>
      <c r="I38" s="36">
        <f t="shared" si="0"/>
        <v>2.4771212547196626</v>
      </c>
      <c r="J38" s="36">
        <f t="shared" si="0"/>
        <v>2.6020599913279625</v>
      </c>
      <c r="K38" s="36">
        <f t="shared" si="0"/>
        <v>2.6989700043360187</v>
      </c>
      <c r="L38" s="36">
        <f t="shared" si="0"/>
        <v>3</v>
      </c>
      <c r="M38" s="36">
        <f t="shared" si="0"/>
        <v>3.3010299956639813</v>
      </c>
      <c r="N38" s="36">
        <f t="shared" si="0"/>
        <v>3.6989700043360187</v>
      </c>
      <c r="O38" s="35"/>
      <c r="P38" s="35"/>
      <c r="Q38" s="35"/>
      <c r="R38" s="34"/>
    </row>
    <row r="39" spans="1:18" x14ac:dyDescent="0.2">
      <c r="A39" s="17" t="s">
        <v>9</v>
      </c>
      <c r="B39" s="17"/>
      <c r="C39" s="17"/>
      <c r="D39" s="18">
        <v>272</v>
      </c>
      <c r="E39" s="17"/>
      <c r="F39" s="18">
        <v>250.7</v>
      </c>
      <c r="G39" s="18">
        <v>235.6</v>
      </c>
      <c r="H39" s="18">
        <v>220.3</v>
      </c>
      <c r="I39" s="17"/>
      <c r="J39" s="17"/>
      <c r="K39" s="18">
        <v>190</v>
      </c>
      <c r="L39" s="18">
        <v>161.30000000000001</v>
      </c>
      <c r="M39" s="18">
        <v>119.3</v>
      </c>
      <c r="N39" s="18">
        <v>46.1</v>
      </c>
      <c r="O39" s="18">
        <v>3.25</v>
      </c>
      <c r="P39" s="18">
        <v>3.99</v>
      </c>
      <c r="Q39" s="18">
        <v>57.4</v>
      </c>
      <c r="R39" s="19" t="s">
        <v>6</v>
      </c>
    </row>
    <row r="40" spans="1:18" x14ac:dyDescent="0.2">
      <c r="A40" s="17" t="s">
        <v>7</v>
      </c>
      <c r="B40" s="17"/>
      <c r="C40" s="17"/>
      <c r="D40" s="18">
        <v>299.39999999999998</v>
      </c>
      <c r="E40" s="17"/>
      <c r="F40" s="18">
        <v>288.5</v>
      </c>
      <c r="G40" s="18">
        <v>282.5</v>
      </c>
      <c r="H40" s="18">
        <v>272.5</v>
      </c>
      <c r="I40" s="17"/>
      <c r="J40" s="17"/>
      <c r="K40" s="18">
        <v>259.5</v>
      </c>
      <c r="L40" s="18">
        <v>242.4</v>
      </c>
      <c r="M40" s="18">
        <v>220.5</v>
      </c>
      <c r="N40" s="18">
        <v>136.6</v>
      </c>
      <c r="O40" s="18">
        <v>2.52</v>
      </c>
      <c r="P40" s="18">
        <v>3.73</v>
      </c>
      <c r="Q40" s="18">
        <v>3.2</v>
      </c>
      <c r="R40" s="17"/>
    </row>
    <row r="41" spans="1:18" x14ac:dyDescent="0.2">
      <c r="A41" s="17" t="s">
        <v>13</v>
      </c>
      <c r="B41" s="18">
        <v>258</v>
      </c>
      <c r="C41" s="17"/>
      <c r="D41" s="17"/>
      <c r="E41" s="17"/>
      <c r="F41" s="18">
        <v>234</v>
      </c>
      <c r="G41" s="18">
        <v>152</v>
      </c>
      <c r="H41" s="18">
        <v>72</v>
      </c>
      <c r="I41" s="17"/>
      <c r="J41" s="17"/>
      <c r="K41" s="17"/>
      <c r="L41" s="17"/>
      <c r="M41" s="17"/>
      <c r="N41" s="17"/>
      <c r="O41" s="17"/>
      <c r="P41" s="17"/>
      <c r="Q41" s="17"/>
      <c r="R41" s="19" t="s">
        <v>11</v>
      </c>
    </row>
    <row r="42" spans="1:18" ht="25.5" x14ac:dyDescent="0.2">
      <c r="A42" s="17" t="s">
        <v>21</v>
      </c>
      <c r="B42" s="17"/>
      <c r="C42" s="17"/>
      <c r="D42" s="17"/>
      <c r="E42" s="17"/>
      <c r="F42" s="18">
        <v>254.33</v>
      </c>
      <c r="G42" s="18">
        <v>229.16</v>
      </c>
      <c r="H42" s="18">
        <v>201.91</v>
      </c>
      <c r="I42" s="17"/>
      <c r="J42" s="17"/>
      <c r="K42" s="18">
        <v>141.69</v>
      </c>
      <c r="L42" s="18">
        <v>101.84</v>
      </c>
      <c r="M42" s="18">
        <v>81.81</v>
      </c>
      <c r="N42" s="18">
        <v>60.66</v>
      </c>
      <c r="O42" s="18">
        <v>0.41</v>
      </c>
      <c r="P42" s="18">
        <v>3.8129</v>
      </c>
      <c r="Q42" s="18">
        <v>9.0250000000000004</v>
      </c>
      <c r="R42" s="19" t="s">
        <v>135</v>
      </c>
    </row>
    <row r="43" spans="1:18" ht="25.5" x14ac:dyDescent="0.2">
      <c r="A43" s="17" t="s">
        <v>22</v>
      </c>
      <c r="B43" s="17"/>
      <c r="C43" s="17"/>
      <c r="D43" s="17"/>
      <c r="E43" s="17"/>
      <c r="F43" s="18">
        <v>339.21</v>
      </c>
      <c r="G43" s="18">
        <v>310.14</v>
      </c>
      <c r="H43" s="18">
        <v>262.82</v>
      </c>
      <c r="I43" s="17"/>
      <c r="J43" s="17"/>
      <c r="K43" s="18">
        <v>225.97</v>
      </c>
      <c r="L43" s="18">
        <v>150.18</v>
      </c>
      <c r="M43" s="18">
        <v>114.44</v>
      </c>
      <c r="N43" s="18">
        <v>94.45</v>
      </c>
      <c r="O43" s="18">
        <v>0.48</v>
      </c>
      <c r="P43" s="18">
        <v>3.7422</v>
      </c>
      <c r="Q43" s="18">
        <v>4.6920000000000002</v>
      </c>
      <c r="R43" s="17"/>
    </row>
    <row r="44" spans="1:18" ht="25.5" x14ac:dyDescent="0.2">
      <c r="A44" s="17" t="s">
        <v>136</v>
      </c>
      <c r="B44" s="17"/>
      <c r="C44" s="17"/>
      <c r="D44" s="17"/>
      <c r="E44" s="17"/>
      <c r="F44" s="17"/>
      <c r="G44" s="18">
        <v>346.8</v>
      </c>
      <c r="H44" s="18">
        <v>325.89999999999998</v>
      </c>
      <c r="I44" s="17"/>
      <c r="J44" s="17"/>
      <c r="K44" s="18">
        <v>313.5</v>
      </c>
      <c r="L44" s="18">
        <v>299.39999999999998</v>
      </c>
      <c r="M44" s="18">
        <v>271.60000000000002</v>
      </c>
      <c r="N44" s="18">
        <v>135</v>
      </c>
      <c r="O44" s="18">
        <v>3.12</v>
      </c>
      <c r="P44" s="18">
        <v>3.94</v>
      </c>
      <c r="Q44" s="18">
        <v>142.80000000000001</v>
      </c>
      <c r="R44" s="19" t="s">
        <v>44</v>
      </c>
    </row>
    <row r="45" spans="1:18" x14ac:dyDescent="0.2">
      <c r="A45" s="17" t="s">
        <v>64</v>
      </c>
      <c r="B45" s="18">
        <v>298.7</v>
      </c>
      <c r="C45" s="17"/>
      <c r="D45" s="17"/>
      <c r="E45" s="17"/>
      <c r="F45" s="18">
        <v>273.10000000000002</v>
      </c>
      <c r="G45" s="18">
        <v>236.5</v>
      </c>
      <c r="H45" s="18">
        <v>196.7</v>
      </c>
      <c r="I45" s="17"/>
      <c r="J45" s="17"/>
      <c r="K45" s="18">
        <v>146.69999999999999</v>
      </c>
      <c r="L45" s="18">
        <v>91.9</v>
      </c>
      <c r="M45" s="18">
        <v>61.5</v>
      </c>
      <c r="N45" s="18">
        <v>41.7</v>
      </c>
      <c r="O45" s="18">
        <v>1.02</v>
      </c>
      <c r="P45" s="18">
        <v>4.4000000000000004</v>
      </c>
      <c r="Q45" s="18">
        <v>1.86</v>
      </c>
      <c r="R45" s="19" t="s">
        <v>137</v>
      </c>
    </row>
    <row r="46" spans="1:18" x14ac:dyDescent="0.2">
      <c r="A46" s="17" t="s">
        <v>65</v>
      </c>
      <c r="B46" s="17"/>
      <c r="C46" s="17"/>
      <c r="D46" s="17"/>
      <c r="E46" s="17"/>
      <c r="F46" s="17"/>
      <c r="G46" s="18">
        <v>144</v>
      </c>
      <c r="H46" s="18">
        <v>125</v>
      </c>
      <c r="I46" s="17"/>
      <c r="J46" s="17"/>
      <c r="K46" s="18">
        <v>90</v>
      </c>
      <c r="L46" s="18">
        <v>77</v>
      </c>
      <c r="M46" s="18">
        <v>60</v>
      </c>
      <c r="N46" s="17"/>
      <c r="O46" s="18">
        <v>0.91</v>
      </c>
      <c r="P46" s="18">
        <v>3.35</v>
      </c>
      <c r="Q46" s="18">
        <v>1295.21</v>
      </c>
      <c r="R46" s="19" t="s">
        <v>66</v>
      </c>
    </row>
    <row r="47" spans="1:18" ht="25.5" x14ac:dyDescent="0.2">
      <c r="A47" s="17" t="s">
        <v>67</v>
      </c>
      <c r="B47" s="17"/>
      <c r="C47" s="17"/>
      <c r="D47" s="17"/>
      <c r="E47" s="17"/>
      <c r="F47" s="17"/>
      <c r="G47" s="18">
        <v>255</v>
      </c>
      <c r="H47" s="18">
        <v>220</v>
      </c>
      <c r="I47" s="17"/>
      <c r="J47" s="17"/>
      <c r="K47" s="18">
        <v>151</v>
      </c>
      <c r="L47" s="18">
        <v>109</v>
      </c>
      <c r="M47" s="18">
        <v>80</v>
      </c>
      <c r="N47" s="17"/>
      <c r="O47" s="18">
        <v>0.98</v>
      </c>
      <c r="P47" s="18">
        <v>3.67</v>
      </c>
      <c r="Q47" s="18">
        <v>111.58</v>
      </c>
      <c r="R47" s="17"/>
    </row>
    <row r="48" spans="1:18" x14ac:dyDescent="0.2">
      <c r="A48" s="17" t="s">
        <v>72</v>
      </c>
      <c r="B48" s="17"/>
      <c r="C48" s="18">
        <v>345</v>
      </c>
      <c r="D48" s="17"/>
      <c r="E48" s="17"/>
      <c r="F48" s="18">
        <v>320</v>
      </c>
      <c r="G48" s="18">
        <v>302</v>
      </c>
      <c r="H48" s="18">
        <v>250</v>
      </c>
      <c r="I48" s="18">
        <v>179</v>
      </c>
      <c r="J48" s="17"/>
      <c r="K48" s="17"/>
      <c r="L48" s="17"/>
      <c r="M48" s="17"/>
      <c r="N48" s="17"/>
      <c r="O48" s="17"/>
      <c r="P48" s="17"/>
      <c r="Q48" s="17"/>
      <c r="R48" s="19" t="s">
        <v>69</v>
      </c>
    </row>
    <row r="49" spans="1:18" ht="25.5" x14ac:dyDescent="0.2">
      <c r="A49" s="17" t="s">
        <v>138</v>
      </c>
      <c r="B49" s="18">
        <v>235</v>
      </c>
      <c r="C49" s="17"/>
      <c r="D49" s="17"/>
      <c r="E49" s="18">
        <v>222</v>
      </c>
      <c r="F49" s="17"/>
      <c r="G49" s="18">
        <v>202</v>
      </c>
      <c r="H49" s="18">
        <v>181</v>
      </c>
      <c r="I49" s="17"/>
      <c r="J49" s="18">
        <v>155</v>
      </c>
      <c r="K49" s="17"/>
      <c r="L49" s="18">
        <v>112</v>
      </c>
      <c r="M49" s="18">
        <v>86</v>
      </c>
      <c r="N49" s="17"/>
      <c r="O49" s="18">
        <v>2.74</v>
      </c>
      <c r="P49" s="18">
        <v>3.85</v>
      </c>
      <c r="Q49" s="18">
        <v>196.3</v>
      </c>
      <c r="R49" s="19" t="s">
        <v>91</v>
      </c>
    </row>
    <row r="50" spans="1:18" x14ac:dyDescent="0.2">
      <c r="A50" s="17" t="s">
        <v>94</v>
      </c>
      <c r="B50" s="17"/>
      <c r="C50" s="17"/>
      <c r="D50" s="17"/>
      <c r="E50" s="17"/>
      <c r="F50" s="18">
        <v>292.3</v>
      </c>
      <c r="G50" s="18">
        <v>281.2</v>
      </c>
      <c r="H50" s="18">
        <v>266.5</v>
      </c>
      <c r="I50" s="17"/>
      <c r="J50" s="17"/>
      <c r="K50" s="18">
        <v>228.7</v>
      </c>
      <c r="L50" s="18">
        <v>183.4</v>
      </c>
      <c r="M50" s="18">
        <v>121.7</v>
      </c>
      <c r="N50" s="17"/>
      <c r="O50" s="18">
        <v>1.35</v>
      </c>
      <c r="P50" s="18">
        <v>3.84</v>
      </c>
      <c r="Q50" s="18">
        <v>22.167999999999999</v>
      </c>
      <c r="R50" s="19" t="s">
        <v>93</v>
      </c>
    </row>
    <row r="51" spans="1:18" ht="25.5" x14ac:dyDescent="0.2">
      <c r="A51" s="17" t="s">
        <v>102</v>
      </c>
      <c r="B51" s="17"/>
      <c r="C51" s="17"/>
      <c r="D51" s="17"/>
      <c r="E51" s="17"/>
      <c r="F51" s="17"/>
      <c r="G51" s="18">
        <v>305.5</v>
      </c>
      <c r="H51" s="18">
        <v>270.8</v>
      </c>
      <c r="I51" s="17"/>
      <c r="J51" s="17"/>
      <c r="K51" s="18">
        <v>233.4</v>
      </c>
      <c r="L51" s="18">
        <v>192</v>
      </c>
      <c r="M51" s="18">
        <v>167</v>
      </c>
      <c r="N51" s="18">
        <v>136.6</v>
      </c>
      <c r="O51" s="18">
        <v>1.05</v>
      </c>
      <c r="P51" s="18">
        <v>3.69</v>
      </c>
      <c r="Q51" s="18">
        <v>1988.9</v>
      </c>
      <c r="R51" s="19" t="s">
        <v>98</v>
      </c>
    </row>
    <row r="52" spans="1:18" ht="25.5" x14ac:dyDescent="0.2">
      <c r="A52" s="17" t="s">
        <v>100</v>
      </c>
      <c r="B52" s="17"/>
      <c r="C52" s="17"/>
      <c r="D52" s="17"/>
      <c r="E52" s="17"/>
      <c r="F52" s="17"/>
      <c r="G52" s="18">
        <v>264.60000000000002</v>
      </c>
      <c r="H52" s="18">
        <v>232.4</v>
      </c>
      <c r="I52" s="17"/>
      <c r="J52" s="17"/>
      <c r="K52" s="18">
        <v>198.2</v>
      </c>
      <c r="L52" s="18">
        <v>149.5</v>
      </c>
      <c r="M52" s="18">
        <v>105.3</v>
      </c>
      <c r="N52" s="18">
        <v>58.1</v>
      </c>
      <c r="O52" s="18">
        <v>1.69</v>
      </c>
      <c r="P52" s="18">
        <v>3.83</v>
      </c>
      <c r="Q52" s="18">
        <v>253.46</v>
      </c>
      <c r="R52" s="17"/>
    </row>
  </sheetData>
  <mergeCells count="3">
    <mergeCell ref="A1:R1"/>
    <mergeCell ref="A19:R19"/>
    <mergeCell ref="A36:R36"/>
  </mergeCells>
  <hyperlinks>
    <hyperlink ref="R3" r:id="rId1" display="https://www.pnas.org/doi/full/10.1073/pnas.2111119118" xr:uid="{AB047077-C0EA-4564-933C-2D2ACCD08449}"/>
    <hyperlink ref="R5" r:id="rId2" display="https://iastate.app.box.com/file/1436314017403" xr:uid="{64870735-4971-4ADF-B4EE-E9D4C51E2503}"/>
    <hyperlink ref="R6" r:id="rId3" location="appsec1" display="https://www.sciencedirect.com/science/article/pii/S0378775317306328 - appsec1" xr:uid="{371C2A4C-021B-4345-8E23-8702ED969361}"/>
    <hyperlink ref="R8" r:id="rId4" location="s0070" display="https://www.sciencedirect.com/science/article/pii/S1385894722059149 - s0070" xr:uid="{BE1CA1BD-BFDD-41E8-84A9-8CF1A23469AE}"/>
    <hyperlink ref="R9" r:id="rId5" xr:uid="{94B2424F-7E8A-4D34-9360-053E024C276B}"/>
    <hyperlink ref="R10" r:id="rId6" display="https://link.springer.com/article/10.1007/s10008-016-3485-z" xr:uid="{8B4FC12E-C79D-41E6-BA66-4F1EBA2E57E3}"/>
    <hyperlink ref="R12" r:id="rId7" location="bib8" display="https://www.sciencedirect.com/science/article/pii/S0008622317308163?via%3Dihub - bib8" xr:uid="{F8947E78-7494-43B1-BE14-148C9B90BD9C}"/>
    <hyperlink ref="R13" r:id="rId8" display="https://chemistry-europe.onlinelibrary.wiley.com/doi/10.1002/celc.201500437" xr:uid="{69C5A5F9-F6E6-4399-8A50-F7D23EE2AEDE}"/>
    <hyperlink ref="R14" r:id="rId9" display="https://www.sciencedirect.com/science/article/pii/S0013468620314341" xr:uid="{478F7EE9-172C-4211-83EC-C016CD50AE02}"/>
    <hyperlink ref="R15" r:id="rId10" display="https://link.springer.com/article/10.1007/s10853-018-03229-2" xr:uid="{C4B6642E-EDB4-40F8-9FA3-7A2B8404463C}"/>
    <hyperlink ref="R21" r:id="rId11" display="https://www.pnas.org/doi/full/10.1073/pnas.2111119118" xr:uid="{681329F6-D39D-405C-84A0-7ADECF16AAC8}"/>
    <hyperlink ref="R23" r:id="rId12" display="https://iastate.app.box.com/file/1436314017403" xr:uid="{8EF8DB4A-CA8E-4694-A167-7EEA61016253}"/>
    <hyperlink ref="R24" r:id="rId13" location="appsec1" display="https://www.sciencedirect.com/science/article/pii/S0378775317306328 - appsec1" xr:uid="{32EC63B7-649C-42A4-8D9E-8A90D987FB30}"/>
    <hyperlink ref="R26" r:id="rId14" location="s0070" display="https://www.sciencedirect.com/science/article/pii/S1385894722059149 - s0070" xr:uid="{E272076C-A87B-468A-953D-F20373AEA5AE}"/>
    <hyperlink ref="R27" r:id="rId15" xr:uid="{566C1FC4-27B6-410B-9DCE-82927BEAF029}"/>
    <hyperlink ref="R28" r:id="rId16" display="https://link.springer.com/article/10.1007/s10008-016-3485-z" xr:uid="{F22DA6F8-F795-438E-938C-7CE6C75CE289}"/>
    <hyperlink ref="R30" r:id="rId17" location="bib8" display="https://www.sciencedirect.com/science/article/pii/S0008622317308163?via%3Dihub - bib8" xr:uid="{2EBEDC2A-3039-4D3A-93F5-DD39D2C157E4}"/>
    <hyperlink ref="R31" r:id="rId18" display="https://chemistry-europe.onlinelibrary.wiley.com/doi/10.1002/celc.201500437" xr:uid="{29476234-AAAF-4835-BF1D-8F8B283A7EFC}"/>
    <hyperlink ref="R32" r:id="rId19" display="https://www.sciencedirect.com/science/article/pii/S0013468620314341" xr:uid="{F5373849-300C-425A-919F-6B97DF2B71ED}"/>
    <hyperlink ref="R33" r:id="rId20" display="https://link.springer.com/article/10.1007/s10853-018-03229-2" xr:uid="{3323EAA0-BB4B-4681-B642-3D2C5E589F38}"/>
    <hyperlink ref="R39" r:id="rId21" display="https://www.pnas.org/doi/full/10.1073/pnas.2111119118" xr:uid="{D0CEE14B-539B-4DD9-9BD5-AF068B52289E}"/>
    <hyperlink ref="R41" r:id="rId22" display="https://iastate.app.box.com/file/1436314017403" xr:uid="{0D5051D8-1439-4953-B7F5-462308B7216C}"/>
    <hyperlink ref="R42" r:id="rId23" location="appsec1" display="https://www.sciencedirect.com/science/article/pii/S0378775317306328 - appsec1" xr:uid="{C6DF4E63-A3B9-4A40-B1AB-8C9F1FDDBE9A}"/>
    <hyperlink ref="R44" r:id="rId24" location="s0070" display="https://www.sciencedirect.com/science/article/pii/S1385894722059149 - s0070" xr:uid="{59675885-3614-44F2-9384-5BDABB613BEE}"/>
    <hyperlink ref="R45" r:id="rId25" xr:uid="{2430D0C1-6F93-4529-971B-783F4ADEA086}"/>
    <hyperlink ref="R46" r:id="rId26" display="https://link.springer.com/article/10.1007/s10008-016-3485-z" xr:uid="{D8BCB682-F4B3-4AFE-995A-772140616075}"/>
    <hyperlink ref="R48" r:id="rId27" location="bib8" display="https://www.sciencedirect.com/science/article/pii/S0008622317308163?via%3Dihub - bib8" xr:uid="{9B502733-AA33-4ACA-90BD-531061821846}"/>
    <hyperlink ref="R49" r:id="rId28" display="https://chemistry-europe.onlinelibrary.wiley.com/doi/10.1002/celc.201500437" xr:uid="{4384D02E-687A-4959-9ED2-6F302DA328F0}"/>
    <hyperlink ref="R50" r:id="rId29" display="https://www.sciencedirect.com/science/article/pii/S0013468620314341" xr:uid="{3FCA4F22-76C7-4496-A1DB-5D1B4CA47795}"/>
    <hyperlink ref="R51" r:id="rId30" display="https://link.springer.com/article/10.1007/s10853-018-03229-2" xr:uid="{3013C102-F9D7-4FD0-ADCE-C32A7959A56D}"/>
  </hyperlinks>
  <pageMargins left="0.7" right="0.7" top="0.75" bottom="0.75" header="0.3" footer="0.3"/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6F70-57D7-4782-8EC2-50003048E52C}">
  <sheetPr>
    <outlinePr summaryBelow="0" summaryRight="0"/>
    <pageSetUpPr fitToPage="1"/>
  </sheetPr>
  <dimension ref="A1:R978"/>
  <sheetViews>
    <sheetView zoomScaleNormal="100" workbookViewId="0">
      <pane xSplit="1" ySplit="3" topLeftCell="B100" activePane="bottomRight" state="frozen"/>
      <selection pane="topRight" activeCell="B1" sqref="B1"/>
      <selection pane="bottomLeft" activeCell="A4" sqref="A4"/>
      <selection pane="bottomRight" activeCell="Q4" sqref="Q4:Q133"/>
    </sheetView>
  </sheetViews>
  <sheetFormatPr defaultColWidth="12.5703125" defaultRowHeight="15.75" customHeight="1" x14ac:dyDescent="0.2"/>
  <cols>
    <col min="1" max="1" width="11.7109375" customWidth="1"/>
    <col min="15" max="15" width="9.140625" customWidth="1"/>
    <col min="16" max="17" width="10.42578125" customWidth="1"/>
  </cols>
  <sheetData>
    <row r="1" spans="1:18" ht="35.25" customHeight="1" x14ac:dyDescent="0.2">
      <c r="A1" s="81" t="s">
        <v>0</v>
      </c>
      <c r="B1" s="103" t="s">
        <v>166</v>
      </c>
      <c r="C1" s="106" t="s">
        <v>167</v>
      </c>
      <c r="D1" s="107"/>
      <c r="E1" s="108"/>
      <c r="F1" s="90" t="s">
        <v>162</v>
      </c>
      <c r="G1" s="91"/>
      <c r="H1" s="92"/>
      <c r="I1" s="83" t="s">
        <v>163</v>
      </c>
      <c r="J1" s="84"/>
      <c r="K1" s="85"/>
      <c r="L1" s="90" t="s">
        <v>164</v>
      </c>
      <c r="M1" s="91"/>
      <c r="N1" s="92"/>
      <c r="O1" s="96" t="s">
        <v>168</v>
      </c>
      <c r="P1" s="99" t="s">
        <v>170</v>
      </c>
      <c r="Q1" s="80" t="s">
        <v>179</v>
      </c>
    </row>
    <row r="2" spans="1:18" ht="16.5" customHeight="1" x14ac:dyDescent="0.2">
      <c r="A2" s="82"/>
      <c r="B2" s="104"/>
      <c r="C2" s="109"/>
      <c r="D2" s="110"/>
      <c r="E2" s="111"/>
      <c r="F2" s="93"/>
      <c r="G2" s="94"/>
      <c r="H2" s="95"/>
      <c r="I2" s="86"/>
      <c r="J2" s="87"/>
      <c r="K2" s="88"/>
      <c r="L2" s="93"/>
      <c r="M2" s="94"/>
      <c r="N2" s="95"/>
      <c r="O2" s="97"/>
      <c r="P2" s="100"/>
      <c r="Q2" s="80"/>
    </row>
    <row r="3" spans="1:18" ht="32.450000000000003" customHeight="1" thickBot="1" x14ac:dyDescent="0.25">
      <c r="A3" s="82"/>
      <c r="B3" s="105"/>
      <c r="C3" s="37" t="s">
        <v>165</v>
      </c>
      <c r="D3" s="43" t="s">
        <v>169</v>
      </c>
      <c r="E3" s="38" t="s">
        <v>161</v>
      </c>
      <c r="F3" s="39" t="s">
        <v>165</v>
      </c>
      <c r="G3" s="44" t="s">
        <v>169</v>
      </c>
      <c r="H3" s="40" t="s">
        <v>161</v>
      </c>
      <c r="I3" s="41" t="s">
        <v>165</v>
      </c>
      <c r="J3" s="45" t="s">
        <v>169</v>
      </c>
      <c r="K3" s="42" t="s">
        <v>161</v>
      </c>
      <c r="L3" s="39" t="s">
        <v>165</v>
      </c>
      <c r="M3" s="44" t="s">
        <v>169</v>
      </c>
      <c r="N3" s="40" t="s">
        <v>161</v>
      </c>
      <c r="O3" s="98"/>
      <c r="P3" s="101"/>
      <c r="Q3" s="80"/>
    </row>
    <row r="4" spans="1:18" ht="12.75" x14ac:dyDescent="0.2">
      <c r="A4" s="46" t="s">
        <v>5</v>
      </c>
      <c r="B4" s="3">
        <v>0.99872370411427802</v>
      </c>
      <c r="C4" s="3">
        <v>1344.9226000000001</v>
      </c>
      <c r="D4" s="3">
        <v>559.79240000000004</v>
      </c>
      <c r="E4" s="3">
        <v>83157.878299999997</v>
      </c>
      <c r="F4" s="3">
        <v>1595.1298999999999</v>
      </c>
      <c r="G4" s="3">
        <v>521.55439999999999</v>
      </c>
      <c r="H4" s="3">
        <v>36907.602899999998</v>
      </c>
      <c r="I4" s="3">
        <v>1550</v>
      </c>
      <c r="J4" s="3">
        <v>338.70069999999998</v>
      </c>
      <c r="K4" s="3">
        <v>65140.327499999999</v>
      </c>
      <c r="L4" s="3">
        <v>1250</v>
      </c>
      <c r="M4" s="3">
        <v>258.86369999999999</v>
      </c>
      <c r="N4" s="3">
        <v>80164.512300000002</v>
      </c>
      <c r="O4" s="56">
        <f t="shared" ref="O4:P7" si="0">D4/G4</f>
        <v>1.0733154585600275</v>
      </c>
      <c r="P4" s="56">
        <f t="shared" si="0"/>
        <v>2.2531368001686181</v>
      </c>
      <c r="Q4" s="56">
        <f>K4/H4</f>
        <v>1.7649568755926981</v>
      </c>
    </row>
    <row r="5" spans="1:18" ht="12.75" x14ac:dyDescent="0.2">
      <c r="A5" s="47" t="s">
        <v>7</v>
      </c>
      <c r="B5" s="3">
        <v>0.99848711218825603</v>
      </c>
      <c r="C5" s="3">
        <v>1344.0222000000001</v>
      </c>
      <c r="D5" s="3">
        <v>614.98540000000003</v>
      </c>
      <c r="E5" s="3">
        <v>78545.107799999998</v>
      </c>
      <c r="F5" s="3">
        <v>1593.2204999999999</v>
      </c>
      <c r="G5" s="3">
        <v>507.85500000000002</v>
      </c>
      <c r="H5" s="3">
        <v>43928.241800000003</v>
      </c>
      <c r="I5" s="3">
        <v>1534.2660000000001</v>
      </c>
      <c r="J5" s="3">
        <v>275.37200000000001</v>
      </c>
      <c r="K5" s="3">
        <v>54680.270700000001</v>
      </c>
      <c r="L5" s="3">
        <v>1250</v>
      </c>
      <c r="M5" s="3">
        <v>217.55670000000001</v>
      </c>
      <c r="N5" s="3">
        <v>65087.771099999998</v>
      </c>
      <c r="O5" s="56">
        <f t="shared" si="0"/>
        <v>1.2109468253733842</v>
      </c>
      <c r="P5" s="56">
        <f t="shared" si="0"/>
        <v>1.7880321310742737</v>
      </c>
      <c r="Q5" s="56">
        <f t="shared" ref="Q5:Q68" si="1">K5/H5</f>
        <v>1.2447634701373365</v>
      </c>
    </row>
    <row r="6" spans="1:18" ht="12.75" x14ac:dyDescent="0.2">
      <c r="A6" s="47" t="s">
        <v>8</v>
      </c>
      <c r="B6" s="3">
        <v>0.99786399300565998</v>
      </c>
      <c r="C6" s="3">
        <v>1346.1922</v>
      </c>
      <c r="D6" s="3">
        <v>631.07100000000003</v>
      </c>
      <c r="E6" s="3">
        <v>72533.364300000001</v>
      </c>
      <c r="F6" s="3">
        <v>1597.3586</v>
      </c>
      <c r="G6" s="3">
        <v>492.77379999999999</v>
      </c>
      <c r="H6" s="3">
        <v>39964.207300000002</v>
      </c>
      <c r="I6" s="3">
        <v>1550</v>
      </c>
      <c r="J6" s="3">
        <v>244.79480000000001</v>
      </c>
      <c r="K6" s="3">
        <v>48257.9738</v>
      </c>
      <c r="L6" s="3">
        <v>1270</v>
      </c>
      <c r="M6" s="3">
        <v>171.88800000000001</v>
      </c>
      <c r="N6" s="3">
        <v>58535.814200000001</v>
      </c>
      <c r="O6" s="56">
        <f t="shared" si="0"/>
        <v>1.2806504728944599</v>
      </c>
      <c r="P6" s="56">
        <f t="shared" si="0"/>
        <v>1.81495816382676</v>
      </c>
      <c r="Q6" s="56">
        <f t="shared" si="1"/>
        <v>1.2075298638539491</v>
      </c>
    </row>
    <row r="7" spans="1:18" ht="13.5" thickBot="1" x14ac:dyDescent="0.25">
      <c r="A7" s="48" t="s">
        <v>9</v>
      </c>
      <c r="B7" s="3">
        <v>0.99872009618853497</v>
      </c>
      <c r="C7" s="3">
        <v>1347.183</v>
      </c>
      <c r="D7" s="3">
        <v>503.57209999999998</v>
      </c>
      <c r="E7" s="3">
        <v>71278.482900000003</v>
      </c>
      <c r="F7" s="3">
        <v>1596.4779000000001</v>
      </c>
      <c r="G7" s="3">
        <v>422.36829999999998</v>
      </c>
      <c r="H7" s="3">
        <v>34412.838600000003</v>
      </c>
      <c r="I7" s="3">
        <v>1550</v>
      </c>
      <c r="J7" s="3">
        <v>288.75830000000002</v>
      </c>
      <c r="K7" s="3">
        <v>53526.387900000002</v>
      </c>
      <c r="L7" s="3">
        <v>1270</v>
      </c>
      <c r="M7" s="3">
        <v>200.72710000000001</v>
      </c>
      <c r="N7" s="3">
        <v>70321.408299999996</v>
      </c>
      <c r="O7" s="56">
        <f t="shared" si="0"/>
        <v>1.1922582731705955</v>
      </c>
      <c r="P7" s="56">
        <f t="shared" si="0"/>
        <v>2.0712758900394808</v>
      </c>
      <c r="Q7" s="56">
        <f t="shared" si="1"/>
        <v>1.5554191423197503</v>
      </c>
    </row>
    <row r="8" spans="1:18" ht="12.75" x14ac:dyDescent="0.2">
      <c r="A8" s="46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56"/>
      <c r="P8" s="56"/>
      <c r="Q8" s="56"/>
      <c r="R8" s="89" t="s">
        <v>171</v>
      </c>
    </row>
    <row r="9" spans="1:18" ht="12.75" x14ac:dyDescent="0.2">
      <c r="A9" s="47" t="s">
        <v>12</v>
      </c>
      <c r="O9" s="56"/>
      <c r="P9" s="56"/>
      <c r="Q9" s="56"/>
      <c r="R9" s="102"/>
    </row>
    <row r="10" spans="1:18" ht="12.75" x14ac:dyDescent="0.2">
      <c r="A10" s="47" t="s">
        <v>13</v>
      </c>
      <c r="O10" s="56"/>
      <c r="P10" s="56"/>
      <c r="Q10" s="56"/>
      <c r="R10" s="102"/>
    </row>
    <row r="11" spans="1:18" ht="13.5" thickBot="1" x14ac:dyDescent="0.25">
      <c r="A11" s="48" t="s">
        <v>14</v>
      </c>
      <c r="O11" s="56"/>
      <c r="P11" s="56"/>
      <c r="Q11" s="56"/>
      <c r="R11" s="102"/>
    </row>
    <row r="12" spans="1:18" ht="13.5" thickBot="1" x14ac:dyDescent="0.25">
      <c r="A12" s="49" t="s">
        <v>15</v>
      </c>
      <c r="B12" s="3">
        <v>0.99770361484695202</v>
      </c>
      <c r="C12" s="3">
        <v>1352.2315000000001</v>
      </c>
      <c r="D12" s="3">
        <v>618.93910000000005</v>
      </c>
      <c r="E12" s="3">
        <v>142281.9167</v>
      </c>
      <c r="F12" s="3">
        <v>1612.5834</v>
      </c>
      <c r="G12" s="3">
        <v>365.81150000000002</v>
      </c>
      <c r="H12" s="3">
        <v>43473.982400000001</v>
      </c>
      <c r="I12" s="3">
        <v>1550</v>
      </c>
      <c r="J12" s="3">
        <v>300</v>
      </c>
      <c r="K12" s="3">
        <v>43623.935599999997</v>
      </c>
      <c r="L12" s="3">
        <v>1158.3581999999999</v>
      </c>
      <c r="M12" s="3">
        <v>75.637600000000006</v>
      </c>
      <c r="N12" s="3">
        <v>11392.2302</v>
      </c>
      <c r="O12" s="56">
        <f>D12/G12</f>
        <v>1.6919618437364599</v>
      </c>
      <c r="P12" s="56">
        <f>E12/H12</f>
        <v>3.2728061439340328</v>
      </c>
      <c r="Q12" s="56">
        <f t="shared" si="1"/>
        <v>1.0034492630240379</v>
      </c>
    </row>
    <row r="13" spans="1:18" ht="12.75" x14ac:dyDescent="0.2">
      <c r="A13" s="46" t="s">
        <v>16</v>
      </c>
      <c r="B13" s="3">
        <v>0.99115248415036705</v>
      </c>
      <c r="C13" s="3">
        <v>1346.5954999999999</v>
      </c>
      <c r="D13" s="3">
        <v>706.92190000000005</v>
      </c>
      <c r="E13" s="3">
        <v>65483.677499999998</v>
      </c>
      <c r="F13" s="3">
        <v>1599.9052999999999</v>
      </c>
      <c r="G13" s="3">
        <v>718.01940000000002</v>
      </c>
      <c r="H13" s="3">
        <v>69450.356</v>
      </c>
      <c r="I13" s="3">
        <v>1464.6871000000001</v>
      </c>
      <c r="J13" s="3">
        <v>170.8304</v>
      </c>
      <c r="K13" s="3">
        <v>37949.4012</v>
      </c>
      <c r="L13" s="3">
        <v>1270</v>
      </c>
      <c r="M13" s="3">
        <v>144.1831</v>
      </c>
      <c r="N13" s="3">
        <v>26813.2261</v>
      </c>
      <c r="O13" s="56">
        <f t="shared" ref="O13:O73" si="2">D13/G13</f>
        <v>0.98454428947184436</v>
      </c>
      <c r="P13" s="56">
        <f t="shared" ref="P13:P73" si="3">E13/H13</f>
        <v>0.94288469162058719</v>
      </c>
      <c r="Q13" s="56">
        <f t="shared" si="1"/>
        <v>0.54642486209861907</v>
      </c>
    </row>
    <row r="14" spans="1:18" ht="12.75" x14ac:dyDescent="0.2">
      <c r="A14" s="47" t="s">
        <v>17</v>
      </c>
      <c r="B14" s="3">
        <v>0.99226828205055295</v>
      </c>
      <c r="C14" s="3">
        <v>1348.5319999999999</v>
      </c>
      <c r="D14" s="3">
        <v>640.35059999999999</v>
      </c>
      <c r="E14" s="3">
        <v>60598.089099999997</v>
      </c>
      <c r="F14" s="3">
        <v>1600.2840000000001</v>
      </c>
      <c r="G14" s="3">
        <v>819.36080000000004</v>
      </c>
      <c r="H14" s="3">
        <v>85090.807199999996</v>
      </c>
      <c r="I14" s="3">
        <v>1450</v>
      </c>
      <c r="J14" s="3">
        <v>193.50839999999999</v>
      </c>
      <c r="K14" s="3">
        <v>42461.148999999998</v>
      </c>
      <c r="L14" s="3">
        <v>1270</v>
      </c>
      <c r="M14" s="3">
        <v>155.12440000000001</v>
      </c>
      <c r="N14" s="3">
        <v>25479.8992</v>
      </c>
      <c r="O14" s="56">
        <f t="shared" si="2"/>
        <v>0.78152457378971507</v>
      </c>
      <c r="P14" s="56">
        <f t="shared" si="3"/>
        <v>0.71215788278478098</v>
      </c>
      <c r="Q14" s="56">
        <f t="shared" si="1"/>
        <v>0.49900982723313503</v>
      </c>
    </row>
    <row r="15" spans="1:18" ht="12.75" x14ac:dyDescent="0.2">
      <c r="A15" s="47" t="s">
        <v>18</v>
      </c>
      <c r="B15" s="3">
        <v>0.989064934105232</v>
      </c>
      <c r="C15" s="3">
        <v>1345.8518999999999</v>
      </c>
      <c r="D15" s="3">
        <v>732.44110000000001</v>
      </c>
      <c r="E15" s="3">
        <v>77684.285600000003</v>
      </c>
      <c r="F15" s="3">
        <v>1597.4282000000001</v>
      </c>
      <c r="G15" s="3">
        <v>806.12419999999997</v>
      </c>
      <c r="H15" s="3">
        <v>82002.683699999994</v>
      </c>
      <c r="I15" s="3">
        <v>1480</v>
      </c>
      <c r="J15" s="3">
        <v>244.81370000000001</v>
      </c>
      <c r="K15" s="3">
        <v>49290.132400000002</v>
      </c>
      <c r="L15" s="3">
        <v>1250</v>
      </c>
      <c r="M15" s="3">
        <v>186.43289999999999</v>
      </c>
      <c r="N15" s="3">
        <v>35101.2618</v>
      </c>
      <c r="O15" s="56">
        <f t="shared" si="2"/>
        <v>0.90859584664497117</v>
      </c>
      <c r="P15" s="56">
        <f t="shared" si="3"/>
        <v>0.947338332050223</v>
      </c>
      <c r="Q15" s="56">
        <f t="shared" si="1"/>
        <v>0.60107950345044625</v>
      </c>
    </row>
    <row r="16" spans="1:18" ht="13.5" thickBot="1" x14ac:dyDescent="0.25">
      <c r="A16" s="48" t="s">
        <v>19</v>
      </c>
      <c r="B16">
        <v>0.98998980093558897</v>
      </c>
      <c r="C16" s="3">
        <v>1345.5808</v>
      </c>
      <c r="D16" s="3">
        <v>726.97400000000005</v>
      </c>
      <c r="E16" s="3">
        <v>71989.125499999995</v>
      </c>
      <c r="F16" s="3">
        <v>1598.2484999999999</v>
      </c>
      <c r="G16" s="3">
        <v>861.14380000000006</v>
      </c>
      <c r="H16" s="3">
        <v>87930.284</v>
      </c>
      <c r="I16" s="3">
        <v>1450.8802000000001</v>
      </c>
      <c r="J16" s="3">
        <v>215.71940000000001</v>
      </c>
      <c r="K16" s="3">
        <v>47658.907500000001</v>
      </c>
      <c r="L16" s="3">
        <v>1250</v>
      </c>
      <c r="M16" s="3">
        <v>171.68100000000001</v>
      </c>
      <c r="N16" s="3">
        <v>30576.942899999998</v>
      </c>
      <c r="O16" s="56">
        <f t="shared" si="2"/>
        <v>0.84419582420497019</v>
      </c>
      <c r="P16" s="56">
        <f t="shared" si="3"/>
        <v>0.81870684621011791</v>
      </c>
      <c r="Q16" s="56">
        <f t="shared" si="1"/>
        <v>0.54200788774888986</v>
      </c>
    </row>
    <row r="17" spans="1:17" ht="12.75" x14ac:dyDescent="0.2">
      <c r="A17" s="46" t="s">
        <v>20</v>
      </c>
      <c r="B17" s="3">
        <v>0.99961535562877402</v>
      </c>
      <c r="C17" s="3">
        <v>1354.8362</v>
      </c>
      <c r="D17" s="3">
        <v>460.51299999999998</v>
      </c>
      <c r="E17" s="3">
        <v>81070.473800000007</v>
      </c>
      <c r="F17" s="3">
        <v>1594.3693000000001</v>
      </c>
      <c r="G17" s="3">
        <v>468.27350000000001</v>
      </c>
      <c r="H17" s="3">
        <v>63069.880700000002</v>
      </c>
      <c r="I17" s="3">
        <v>1526.7982999999999</v>
      </c>
      <c r="J17" s="3">
        <v>349.46600000000001</v>
      </c>
      <c r="K17" s="3">
        <v>63092.157800000001</v>
      </c>
      <c r="L17" s="3">
        <v>1250</v>
      </c>
      <c r="M17" s="3">
        <v>236.5659</v>
      </c>
      <c r="N17" s="3">
        <v>75358.839900000006</v>
      </c>
      <c r="O17" s="56">
        <f t="shared" si="2"/>
        <v>0.98342742008676542</v>
      </c>
      <c r="P17" s="56">
        <f t="shared" si="3"/>
        <v>1.2854071214376026</v>
      </c>
      <c r="Q17" s="56">
        <f t="shared" si="1"/>
        <v>1.000353212971909</v>
      </c>
    </row>
    <row r="18" spans="1:17" ht="12.75" x14ac:dyDescent="0.2">
      <c r="A18" s="47" t="s">
        <v>21</v>
      </c>
      <c r="B18" s="3">
        <v>0.99946190705343996</v>
      </c>
      <c r="C18" s="3">
        <v>1355.7973</v>
      </c>
      <c r="D18" s="3">
        <v>646.82929999999999</v>
      </c>
      <c r="E18" s="3">
        <v>114533.7386</v>
      </c>
      <c r="F18" s="3">
        <v>1594.7455</v>
      </c>
      <c r="G18" s="3">
        <v>595.84109999999998</v>
      </c>
      <c r="H18" s="3">
        <v>80630.020300000004</v>
      </c>
      <c r="I18" s="3">
        <v>1524.2455</v>
      </c>
      <c r="J18" s="3">
        <v>385.79570000000001</v>
      </c>
      <c r="K18" s="3">
        <v>65378.539700000001</v>
      </c>
      <c r="L18" s="3">
        <v>1200</v>
      </c>
      <c r="M18" s="3">
        <v>182.38489999999999</v>
      </c>
      <c r="N18" s="3">
        <v>49943.1757</v>
      </c>
      <c r="O18" s="56">
        <f t="shared" si="2"/>
        <v>1.0855734859512041</v>
      </c>
      <c r="P18" s="56">
        <f t="shared" si="3"/>
        <v>1.4204850522653285</v>
      </c>
      <c r="Q18" s="56">
        <f t="shared" si="1"/>
        <v>0.81084612724573502</v>
      </c>
    </row>
    <row r="19" spans="1:17" ht="12.75" x14ac:dyDescent="0.2">
      <c r="A19" s="47" t="s">
        <v>22</v>
      </c>
      <c r="B19" s="3">
        <v>0.99847858412311896</v>
      </c>
      <c r="C19" s="3">
        <v>1343.9132</v>
      </c>
      <c r="D19" s="3">
        <v>1513.2215000000001</v>
      </c>
      <c r="E19" s="3">
        <v>200105.8296</v>
      </c>
      <c r="F19" s="3">
        <v>1590.1264000000001</v>
      </c>
      <c r="G19" s="3">
        <v>1538.8413</v>
      </c>
      <c r="H19" s="3">
        <v>174301.54329999999</v>
      </c>
      <c r="I19" s="3">
        <v>1502.337</v>
      </c>
      <c r="J19" s="3">
        <v>671.59469999999999</v>
      </c>
      <c r="K19" s="3">
        <v>121251.5696</v>
      </c>
      <c r="L19" s="3">
        <v>1230</v>
      </c>
      <c r="M19" s="3">
        <v>453.43279999999999</v>
      </c>
      <c r="N19" s="3">
        <v>132212.39009999999</v>
      </c>
      <c r="O19" s="56">
        <f t="shared" si="2"/>
        <v>0.98335123966324534</v>
      </c>
      <c r="P19" s="56">
        <f t="shared" si="3"/>
        <v>1.1480439347320455</v>
      </c>
      <c r="Q19" s="56">
        <f t="shared" si="1"/>
        <v>0.6956425474174216</v>
      </c>
    </row>
    <row r="20" spans="1:17" ht="13.5" thickBot="1" x14ac:dyDescent="0.25">
      <c r="A20" s="48" t="s">
        <v>23</v>
      </c>
      <c r="B20" s="3">
        <v>0.99713206663551301</v>
      </c>
      <c r="C20" s="3">
        <v>1344.1102000000001</v>
      </c>
      <c r="D20" s="3">
        <v>701.18920000000003</v>
      </c>
      <c r="E20" s="3">
        <v>81799.351699999999</v>
      </c>
      <c r="F20" s="3">
        <v>1591.7528</v>
      </c>
      <c r="G20" s="3">
        <v>756.06539999999995</v>
      </c>
      <c r="H20" s="3">
        <v>83723.897599999997</v>
      </c>
      <c r="I20" s="3">
        <v>1496.5036</v>
      </c>
      <c r="J20" s="3">
        <v>277.88810000000001</v>
      </c>
      <c r="K20" s="3">
        <v>52584.688999999998</v>
      </c>
      <c r="L20" s="3">
        <v>1250</v>
      </c>
      <c r="M20" s="3">
        <v>203.5933</v>
      </c>
      <c r="N20" s="3">
        <v>58529.983999999997</v>
      </c>
      <c r="O20" s="56">
        <f t="shared" si="2"/>
        <v>0.92741871271982568</v>
      </c>
      <c r="P20" s="56">
        <f t="shared" si="3"/>
        <v>0.97701318315118668</v>
      </c>
      <c r="Q20" s="56">
        <f t="shared" si="1"/>
        <v>0.62807263526154811</v>
      </c>
    </row>
    <row r="21" spans="1:17" ht="12.75" x14ac:dyDescent="0.2">
      <c r="A21" s="46" t="s">
        <v>24</v>
      </c>
      <c r="B21" s="3">
        <v>0.99292246403534801</v>
      </c>
      <c r="C21" s="3">
        <v>1343</v>
      </c>
      <c r="D21" s="3">
        <v>303.26369999999997</v>
      </c>
      <c r="E21" s="3">
        <v>47507.214999999997</v>
      </c>
      <c r="F21" s="3">
        <v>1593.546</v>
      </c>
      <c r="G21" s="3">
        <v>284.80599999999998</v>
      </c>
      <c r="H21" s="3">
        <v>29277.570599999999</v>
      </c>
      <c r="I21" s="3">
        <v>1509.6721</v>
      </c>
      <c r="J21" s="3">
        <v>130.31200000000001</v>
      </c>
      <c r="K21" s="3">
        <v>21805.548500000001</v>
      </c>
      <c r="L21" s="3">
        <v>1204.1735000000001</v>
      </c>
      <c r="M21" s="3">
        <v>68.351100000000002</v>
      </c>
      <c r="N21" s="3">
        <v>9850.1723999999995</v>
      </c>
      <c r="O21" s="56">
        <f t="shared" si="2"/>
        <v>1.0648079745510979</v>
      </c>
      <c r="P21" s="56">
        <f t="shared" si="3"/>
        <v>1.6226488067968317</v>
      </c>
      <c r="Q21" s="56">
        <f t="shared" si="1"/>
        <v>0.74478681301514826</v>
      </c>
    </row>
    <row r="22" spans="1:17" ht="12.75" x14ac:dyDescent="0.2">
      <c r="A22" s="47" t="s">
        <v>25</v>
      </c>
      <c r="B22" s="3">
        <v>0.98931998633468099</v>
      </c>
      <c r="C22" s="3">
        <v>1343.4007999999999</v>
      </c>
      <c r="D22" s="3">
        <v>245.11089999999999</v>
      </c>
      <c r="E22" s="3">
        <v>34604.027600000001</v>
      </c>
      <c r="F22" s="3">
        <v>1591.4916000000001</v>
      </c>
      <c r="G22" s="3">
        <v>221.334</v>
      </c>
      <c r="H22" s="3">
        <v>23732.129799999999</v>
      </c>
      <c r="I22" s="3">
        <v>1500</v>
      </c>
      <c r="J22" s="3">
        <v>90.507099999999994</v>
      </c>
      <c r="K22" s="3">
        <v>16327.925499999999</v>
      </c>
      <c r="L22" s="3">
        <v>1216.4896000000001</v>
      </c>
      <c r="M22" s="3">
        <v>34.709099999999999</v>
      </c>
      <c r="N22" s="3">
        <v>4340.2864</v>
      </c>
      <c r="O22" s="56">
        <f t="shared" si="2"/>
        <v>1.1074254294414776</v>
      </c>
      <c r="P22" s="56">
        <f t="shared" si="3"/>
        <v>1.458108812467392</v>
      </c>
      <c r="Q22" s="56">
        <f t="shared" si="1"/>
        <v>0.68800927845928095</v>
      </c>
    </row>
    <row r="23" spans="1:17" ht="12.75" x14ac:dyDescent="0.2">
      <c r="A23" s="47" t="s">
        <v>26</v>
      </c>
      <c r="B23" s="3">
        <v>0.98867999432452003</v>
      </c>
      <c r="C23" s="3">
        <v>1343</v>
      </c>
      <c r="D23" s="3">
        <v>315.74040000000002</v>
      </c>
      <c r="E23" s="3">
        <v>37667.1901</v>
      </c>
      <c r="F23" s="3">
        <v>1596.8639000000001</v>
      </c>
      <c r="G23" s="3">
        <v>270.20209999999997</v>
      </c>
      <c r="H23" s="3">
        <v>23828.6011</v>
      </c>
      <c r="I23" s="3">
        <v>1503.2991</v>
      </c>
      <c r="J23" s="3">
        <v>110.4773</v>
      </c>
      <c r="K23" s="3">
        <v>19422.7736</v>
      </c>
      <c r="L23" s="3">
        <v>1248.7743</v>
      </c>
      <c r="M23" s="3">
        <v>50.158099999999997</v>
      </c>
      <c r="N23" s="3">
        <v>6428.4546</v>
      </c>
      <c r="O23" s="56">
        <f t="shared" si="2"/>
        <v>1.1685342193861559</v>
      </c>
      <c r="P23" s="56">
        <f t="shared" si="3"/>
        <v>1.5807554099346603</v>
      </c>
      <c r="Q23" s="56">
        <f t="shared" si="1"/>
        <v>0.81510339270398879</v>
      </c>
    </row>
    <row r="24" spans="1:17" ht="12.75" x14ac:dyDescent="0.2">
      <c r="A24" s="47" t="s">
        <v>27</v>
      </c>
      <c r="B24" s="3">
        <v>0.98885932588404601</v>
      </c>
      <c r="C24" s="3">
        <v>1343</v>
      </c>
      <c r="D24" s="3">
        <v>323.74259999999998</v>
      </c>
      <c r="E24" s="3">
        <v>43576.856500000002</v>
      </c>
      <c r="F24" s="3">
        <v>1593.9594</v>
      </c>
      <c r="G24" s="3">
        <v>260.11259999999999</v>
      </c>
      <c r="H24" s="3">
        <v>25941.140800000001</v>
      </c>
      <c r="I24" s="3">
        <v>1520.7476999999999</v>
      </c>
      <c r="J24" s="3">
        <v>98.021199999999993</v>
      </c>
      <c r="K24" s="3">
        <v>16040.5448</v>
      </c>
      <c r="L24" s="3">
        <v>1211.7072000000001</v>
      </c>
      <c r="M24" s="3">
        <v>29.0335</v>
      </c>
      <c r="N24" s="3">
        <v>938.27750000000003</v>
      </c>
      <c r="O24" s="56">
        <f t="shared" si="2"/>
        <v>1.2446248278630101</v>
      </c>
      <c r="P24" s="56">
        <f t="shared" si="3"/>
        <v>1.6798357803909687</v>
      </c>
      <c r="Q24" s="56">
        <f t="shared" si="1"/>
        <v>0.61834384708324008</v>
      </c>
    </row>
    <row r="25" spans="1:17" ht="12.75" x14ac:dyDescent="0.2">
      <c r="A25" s="47" t="s">
        <v>28</v>
      </c>
      <c r="B25" s="3">
        <v>0.988025889930775</v>
      </c>
      <c r="C25" s="3">
        <v>1343</v>
      </c>
      <c r="D25" s="3">
        <v>376.19139999999999</v>
      </c>
      <c r="E25" s="3">
        <v>36152.358500000002</v>
      </c>
      <c r="F25" s="3">
        <v>1589.4458</v>
      </c>
      <c r="G25" s="3">
        <v>347.40159999999997</v>
      </c>
      <c r="H25" s="3">
        <v>34666.203500000003</v>
      </c>
      <c r="I25" s="3">
        <v>1457.7854</v>
      </c>
      <c r="J25" s="3">
        <v>82.579499999999996</v>
      </c>
      <c r="K25" s="3">
        <v>10918.402599999999</v>
      </c>
      <c r="L25" s="3">
        <v>1250</v>
      </c>
      <c r="M25" s="3">
        <v>49.139600000000002</v>
      </c>
      <c r="N25" s="3">
        <v>5083.3271999999997</v>
      </c>
      <c r="O25" s="56">
        <f t="shared" si="2"/>
        <v>1.0828718117590708</v>
      </c>
      <c r="P25" s="56">
        <f t="shared" si="3"/>
        <v>1.0428704285428889</v>
      </c>
      <c r="Q25" s="56">
        <f t="shared" si="1"/>
        <v>0.31495812917615851</v>
      </c>
    </row>
    <row r="26" spans="1:17" ht="12.75" x14ac:dyDescent="0.2">
      <c r="A26" s="47" t="s">
        <v>29</v>
      </c>
      <c r="B26" s="3">
        <v>0.99294668436304601</v>
      </c>
      <c r="C26" s="3">
        <v>1343</v>
      </c>
      <c r="D26" s="3">
        <v>384.16160000000002</v>
      </c>
      <c r="E26" s="3">
        <v>74832.437000000005</v>
      </c>
      <c r="F26" s="3">
        <v>1595.576</v>
      </c>
      <c r="G26" s="3">
        <v>372.13810000000001</v>
      </c>
      <c r="H26" s="3">
        <v>35473.766100000001</v>
      </c>
      <c r="I26" s="3">
        <v>1525</v>
      </c>
      <c r="J26" s="3">
        <v>146.09379999999999</v>
      </c>
      <c r="K26" s="3">
        <v>19675.592700000001</v>
      </c>
      <c r="L26" s="3">
        <v>1170.1058</v>
      </c>
      <c r="M26" s="3">
        <v>53.6357</v>
      </c>
      <c r="N26" s="3">
        <v>4224.7794000000004</v>
      </c>
      <c r="O26" s="56">
        <f t="shared" si="2"/>
        <v>1.0323092421872417</v>
      </c>
      <c r="P26" s="56">
        <f t="shared" si="3"/>
        <v>2.1095148676644175</v>
      </c>
      <c r="Q26" s="56">
        <f t="shared" si="1"/>
        <v>0.55465192628645088</v>
      </c>
    </row>
    <row r="27" spans="1:17" ht="12.75" x14ac:dyDescent="0.2">
      <c r="A27" s="47" t="s">
        <v>30</v>
      </c>
      <c r="B27" s="3">
        <v>0.99350671195165396</v>
      </c>
      <c r="C27" s="3">
        <v>1343</v>
      </c>
      <c r="D27" s="3">
        <v>266.28190000000001</v>
      </c>
      <c r="E27" s="3">
        <v>41684.762499999997</v>
      </c>
      <c r="F27" s="3">
        <v>1593.4794999999999</v>
      </c>
      <c r="G27" s="3">
        <v>243.52969999999999</v>
      </c>
      <c r="H27" s="3">
        <v>24587.9238</v>
      </c>
      <c r="I27" s="3">
        <v>1511.0352</v>
      </c>
      <c r="J27" s="3">
        <v>111.7732</v>
      </c>
      <c r="K27" s="3">
        <v>17799.6826</v>
      </c>
      <c r="L27" s="3">
        <v>1205.4389000000001</v>
      </c>
      <c r="M27" s="3">
        <v>36.062800000000003</v>
      </c>
      <c r="N27" s="3">
        <v>5482.0195000000003</v>
      </c>
      <c r="O27" s="56">
        <f t="shared" si="2"/>
        <v>1.0934267976349497</v>
      </c>
      <c r="P27" s="56">
        <f t="shared" si="3"/>
        <v>1.6953347846311446</v>
      </c>
      <c r="Q27" s="56">
        <f t="shared" si="1"/>
        <v>0.72391970728329647</v>
      </c>
    </row>
    <row r="28" spans="1:17" ht="12.75" x14ac:dyDescent="0.2">
      <c r="A28" s="47" t="s">
        <v>31</v>
      </c>
      <c r="B28" s="3">
        <v>0.99274292137096098</v>
      </c>
      <c r="C28" s="3">
        <v>1343</v>
      </c>
      <c r="D28" s="3">
        <v>349.90129999999999</v>
      </c>
      <c r="E28" s="3">
        <v>42815.080800000003</v>
      </c>
      <c r="F28" s="3">
        <v>1594.1694</v>
      </c>
      <c r="G28" s="3">
        <v>283.53750000000002</v>
      </c>
      <c r="H28" s="3">
        <v>28197.8253</v>
      </c>
      <c r="I28" s="3">
        <v>1501.723</v>
      </c>
      <c r="J28" s="3">
        <v>114.7426</v>
      </c>
      <c r="K28" s="3">
        <v>20827.468099999998</v>
      </c>
      <c r="L28" s="3">
        <v>1224.316</v>
      </c>
      <c r="M28" s="3">
        <v>58.918300000000002</v>
      </c>
      <c r="N28" s="3">
        <v>6784.3787000000002</v>
      </c>
      <c r="O28" s="56">
        <f t="shared" si="2"/>
        <v>1.2340565180972534</v>
      </c>
      <c r="P28" s="56">
        <f t="shared" si="3"/>
        <v>1.5183823697212566</v>
      </c>
      <c r="Q28" s="56">
        <f t="shared" si="1"/>
        <v>0.73861965872949775</v>
      </c>
    </row>
    <row r="29" spans="1:17" ht="12.75" x14ac:dyDescent="0.2">
      <c r="A29" s="47" t="s">
        <v>32</v>
      </c>
      <c r="B29" s="3">
        <v>0.98730231639391497</v>
      </c>
      <c r="C29" s="3">
        <v>1343</v>
      </c>
      <c r="D29" s="3">
        <v>404.53640000000001</v>
      </c>
      <c r="E29" s="3">
        <v>44240.508800000003</v>
      </c>
      <c r="F29" s="3">
        <v>1598.0225</v>
      </c>
      <c r="G29" s="3">
        <v>337.86869999999999</v>
      </c>
      <c r="H29" s="3">
        <v>32391.611499999999</v>
      </c>
      <c r="I29" s="3">
        <v>1493.2646999999999</v>
      </c>
      <c r="J29" s="3">
        <v>120.6091</v>
      </c>
      <c r="K29" s="3">
        <v>22567.474399999999</v>
      </c>
      <c r="L29" s="3">
        <v>1250</v>
      </c>
      <c r="M29" s="3">
        <v>85.144099999999995</v>
      </c>
      <c r="N29" s="3">
        <v>13140.9467</v>
      </c>
      <c r="O29" s="56">
        <f t="shared" si="2"/>
        <v>1.1973183665725768</v>
      </c>
      <c r="P29" s="56">
        <f t="shared" si="3"/>
        <v>1.3658014143569239</v>
      </c>
      <c r="Q29" s="56">
        <f t="shared" si="1"/>
        <v>0.69670736820241252</v>
      </c>
    </row>
    <row r="30" spans="1:17" ht="13.5" thickBot="1" x14ac:dyDescent="0.25">
      <c r="A30" s="48" t="s">
        <v>33</v>
      </c>
      <c r="B30" s="3">
        <v>0.979150536564242</v>
      </c>
      <c r="C30" s="3">
        <v>1343</v>
      </c>
      <c r="D30" s="3">
        <v>214.29900000000001</v>
      </c>
      <c r="E30" s="3">
        <v>25658.408800000001</v>
      </c>
      <c r="F30" s="3">
        <v>1592.9519</v>
      </c>
      <c r="G30" s="3">
        <v>160.9391</v>
      </c>
      <c r="H30" s="3">
        <v>16511.2225</v>
      </c>
      <c r="I30" s="3">
        <v>1506.3780999999999</v>
      </c>
      <c r="J30" s="3">
        <v>54.804900000000004</v>
      </c>
      <c r="K30" s="3">
        <v>9175.9652999999998</v>
      </c>
      <c r="L30" s="3">
        <v>1231.6352999999999</v>
      </c>
      <c r="M30" s="3">
        <v>15.9292</v>
      </c>
      <c r="N30" s="3">
        <v>1197.8579</v>
      </c>
      <c r="O30" s="56">
        <f t="shared" si="2"/>
        <v>1.3315533639743233</v>
      </c>
      <c r="P30" s="56">
        <f t="shared" si="3"/>
        <v>1.5539981246088834</v>
      </c>
      <c r="Q30" s="56">
        <f t="shared" si="1"/>
        <v>0.55574112092547967</v>
      </c>
    </row>
    <row r="31" spans="1:17" ht="12.75" x14ac:dyDescent="0.2">
      <c r="A31" s="46" t="s">
        <v>34</v>
      </c>
      <c r="B31" s="3">
        <v>0.99446305039607696</v>
      </c>
      <c r="C31" s="3">
        <v>1344.6982</v>
      </c>
      <c r="D31" s="3">
        <v>724.40629999999999</v>
      </c>
      <c r="E31" s="3">
        <v>90200.138699999996</v>
      </c>
      <c r="F31" s="3">
        <v>1590.2005999999999</v>
      </c>
      <c r="G31" s="3">
        <v>894.02940000000001</v>
      </c>
      <c r="H31" s="3">
        <v>102746.00659999999</v>
      </c>
      <c r="I31" s="3">
        <v>1498.0717</v>
      </c>
      <c r="J31" s="3">
        <v>220</v>
      </c>
      <c r="K31" s="3">
        <v>36506.775600000001</v>
      </c>
      <c r="L31" s="3">
        <v>1250</v>
      </c>
      <c r="M31" s="3">
        <v>190</v>
      </c>
      <c r="N31" s="3">
        <v>60023.254500000003</v>
      </c>
      <c r="O31" s="56">
        <f t="shared" si="2"/>
        <v>0.81027122821687969</v>
      </c>
      <c r="P31" s="56">
        <f t="shared" si="3"/>
        <v>0.87789435020241458</v>
      </c>
      <c r="Q31" s="56">
        <f t="shared" si="1"/>
        <v>0.35531089536281796</v>
      </c>
    </row>
    <row r="32" spans="1:17" ht="12.75" x14ac:dyDescent="0.2">
      <c r="A32" s="47" t="s">
        <v>35</v>
      </c>
      <c r="B32" s="3">
        <v>0.99461980836741004</v>
      </c>
      <c r="C32" s="3">
        <v>1349.8208</v>
      </c>
      <c r="D32" s="3">
        <v>740.06569999999999</v>
      </c>
      <c r="E32" s="3">
        <v>96915.303799999994</v>
      </c>
      <c r="F32" s="3">
        <v>1597.2136</v>
      </c>
      <c r="G32" s="3">
        <v>879.4393</v>
      </c>
      <c r="H32" s="3">
        <v>100898.7934</v>
      </c>
      <c r="I32" s="3">
        <v>1507.5354</v>
      </c>
      <c r="J32" s="3">
        <v>260</v>
      </c>
      <c r="K32" s="3">
        <v>42823.362800000003</v>
      </c>
      <c r="L32" s="3">
        <v>1250</v>
      </c>
      <c r="M32" s="3">
        <v>198.2731</v>
      </c>
      <c r="N32" s="3">
        <v>58098.723299999998</v>
      </c>
      <c r="O32" s="56">
        <f t="shared" si="2"/>
        <v>0.84151993207490272</v>
      </c>
      <c r="P32" s="56">
        <f t="shared" si="3"/>
        <v>0.96051994810078667</v>
      </c>
      <c r="Q32" s="56">
        <f t="shared" si="1"/>
        <v>0.42441897823527397</v>
      </c>
    </row>
    <row r="33" spans="1:17" ht="13.5" thickBot="1" x14ac:dyDescent="0.25">
      <c r="A33" s="48" t="s">
        <v>36</v>
      </c>
      <c r="B33" s="3">
        <v>0.99442312763926499</v>
      </c>
      <c r="C33" s="3">
        <v>1350.3232</v>
      </c>
      <c r="D33" s="3">
        <v>654.77340000000004</v>
      </c>
      <c r="E33" s="3">
        <v>82410.895999999993</v>
      </c>
      <c r="F33" s="3">
        <v>1597.3896999999999</v>
      </c>
      <c r="G33" s="3">
        <v>823.39689999999996</v>
      </c>
      <c r="H33" s="3">
        <v>91402.267900000006</v>
      </c>
      <c r="I33" s="3">
        <v>1503.1139000000001</v>
      </c>
      <c r="J33" s="3">
        <v>220</v>
      </c>
      <c r="K33" s="3">
        <v>36794.107499999998</v>
      </c>
      <c r="L33" s="3">
        <v>1250</v>
      </c>
      <c r="M33" s="3">
        <v>170.01499999999999</v>
      </c>
      <c r="N33" s="3">
        <v>49780.376199999999</v>
      </c>
      <c r="O33" s="56">
        <f t="shared" si="2"/>
        <v>0.79520994067381123</v>
      </c>
      <c r="P33" s="56">
        <f t="shared" si="3"/>
        <v>0.90162856889024723</v>
      </c>
      <c r="Q33" s="56">
        <f t="shared" si="1"/>
        <v>0.40255136273265268</v>
      </c>
    </row>
    <row r="34" spans="1:17" ht="12.75" x14ac:dyDescent="0.2">
      <c r="A34" s="46" t="s">
        <v>37</v>
      </c>
      <c r="B34" s="3">
        <v>0.99697382347028196</v>
      </c>
      <c r="C34" s="3">
        <v>1323.7011</v>
      </c>
      <c r="D34" s="3">
        <v>807.0942</v>
      </c>
      <c r="E34" s="3">
        <v>108637.8556</v>
      </c>
      <c r="F34" s="3">
        <v>1596.4903999999999</v>
      </c>
      <c r="G34" s="3">
        <v>797.56079999999997</v>
      </c>
      <c r="H34" s="3">
        <v>82759.070200000002</v>
      </c>
      <c r="I34" s="3">
        <v>1468.0758000000001</v>
      </c>
      <c r="J34" s="3">
        <v>333.57319999999999</v>
      </c>
      <c r="K34" s="3">
        <v>70119.019400000005</v>
      </c>
      <c r="L34" s="3">
        <v>1200</v>
      </c>
      <c r="M34" s="3">
        <v>295.44229999999999</v>
      </c>
      <c r="N34" s="3">
        <v>57795.835400000004</v>
      </c>
      <c r="O34" s="56">
        <f t="shared" si="2"/>
        <v>1.0119531952924468</v>
      </c>
      <c r="P34" s="56">
        <f t="shared" si="3"/>
        <v>1.3127002917923067</v>
      </c>
      <c r="Q34" s="56">
        <f t="shared" si="1"/>
        <v>0.84726688241598924</v>
      </c>
    </row>
    <row r="35" spans="1:17" ht="12.75" x14ac:dyDescent="0.2">
      <c r="A35" s="47" t="s">
        <v>38</v>
      </c>
      <c r="B35" s="3">
        <v>0.99665531981511502</v>
      </c>
      <c r="C35" s="3">
        <v>1330.0527999999999</v>
      </c>
      <c r="D35" s="3">
        <v>655.51480000000004</v>
      </c>
      <c r="E35" s="3">
        <v>95906.132199999993</v>
      </c>
      <c r="F35" s="3">
        <v>1593.8173999999999</v>
      </c>
      <c r="G35" s="3">
        <v>584.79179999999997</v>
      </c>
      <c r="H35" s="3">
        <v>67056.606899999999</v>
      </c>
      <c r="I35" s="3">
        <v>1494.0269000000001</v>
      </c>
      <c r="J35" s="3">
        <v>243.62299999999999</v>
      </c>
      <c r="K35" s="3">
        <v>45166.797100000003</v>
      </c>
      <c r="L35" s="3">
        <v>1200</v>
      </c>
      <c r="M35" s="3">
        <v>183.96969999999999</v>
      </c>
      <c r="N35" s="3">
        <v>38109.747900000002</v>
      </c>
      <c r="O35" s="56">
        <f t="shared" si="2"/>
        <v>1.1209370582829652</v>
      </c>
      <c r="P35" s="56">
        <f t="shared" si="3"/>
        <v>1.4302264405209562</v>
      </c>
      <c r="Q35" s="56">
        <f t="shared" si="1"/>
        <v>0.67356222135361288</v>
      </c>
    </row>
    <row r="36" spans="1:17" ht="13.5" thickBot="1" x14ac:dyDescent="0.25">
      <c r="A36" s="48" t="s">
        <v>39</v>
      </c>
      <c r="B36" s="3">
        <v>0.99390631572437005</v>
      </c>
      <c r="C36" s="3">
        <v>1325.4055000000001</v>
      </c>
      <c r="D36" s="3">
        <v>655.50220000000002</v>
      </c>
      <c r="E36" s="3">
        <v>79080.729000000007</v>
      </c>
      <c r="F36" s="3">
        <v>1595.4663</v>
      </c>
      <c r="G36" s="3">
        <v>595.65200000000004</v>
      </c>
      <c r="H36" s="3">
        <v>61976.3194</v>
      </c>
      <c r="I36" s="3">
        <v>1476.8396</v>
      </c>
      <c r="J36" s="3">
        <v>174.53399999999999</v>
      </c>
      <c r="K36" s="3">
        <v>35648.407500000001</v>
      </c>
      <c r="L36" s="3">
        <v>1197.3479</v>
      </c>
      <c r="M36" s="3">
        <v>140</v>
      </c>
      <c r="N36" s="3">
        <v>30081.034</v>
      </c>
      <c r="O36" s="56">
        <f t="shared" si="2"/>
        <v>1.100478467292983</v>
      </c>
      <c r="P36" s="56">
        <f t="shared" si="3"/>
        <v>1.2759829845590993</v>
      </c>
      <c r="Q36" s="56">
        <f t="shared" si="1"/>
        <v>0.57519400708393797</v>
      </c>
    </row>
    <row r="37" spans="1:17" ht="12.75" x14ac:dyDescent="0.2">
      <c r="A37" s="46" t="s">
        <v>40</v>
      </c>
      <c r="B37" s="3">
        <v>0.99900321902181199</v>
      </c>
      <c r="C37" s="3">
        <v>1352.1194</v>
      </c>
      <c r="D37" s="3">
        <v>618.26700000000005</v>
      </c>
      <c r="E37" s="3">
        <v>141083.38269999999</v>
      </c>
      <c r="F37" s="3">
        <v>1590.9965999999999</v>
      </c>
      <c r="G37" s="3">
        <v>561.38969999999995</v>
      </c>
      <c r="H37" s="3">
        <v>63021.871299999999</v>
      </c>
      <c r="I37" s="3">
        <v>1552.3936000000001</v>
      </c>
      <c r="J37" s="3">
        <v>361.08580000000001</v>
      </c>
      <c r="K37" s="3">
        <v>54352.779600000002</v>
      </c>
      <c r="L37" s="3">
        <v>1170.107</v>
      </c>
      <c r="M37" s="3">
        <v>132.4804</v>
      </c>
      <c r="N37" s="3">
        <v>22820.1315</v>
      </c>
      <c r="O37" s="56">
        <f t="shared" si="2"/>
        <v>1.1013151826618837</v>
      </c>
      <c r="P37" s="56">
        <f t="shared" si="3"/>
        <v>2.2386415983811001</v>
      </c>
      <c r="Q37" s="56">
        <f t="shared" si="1"/>
        <v>0.86244312456650274</v>
      </c>
    </row>
    <row r="38" spans="1:17" ht="12.75" x14ac:dyDescent="0.2">
      <c r="A38" s="47" t="s">
        <v>35</v>
      </c>
      <c r="B38" s="3">
        <v>0.999206784709882</v>
      </c>
      <c r="C38" s="3">
        <v>1352.1407999999999</v>
      </c>
      <c r="D38" s="3">
        <v>725.04240000000004</v>
      </c>
      <c r="E38" s="3">
        <v>155400.69279999999</v>
      </c>
      <c r="F38" s="3">
        <v>1590.5567000000001</v>
      </c>
      <c r="G38" s="3">
        <v>507.77850000000001</v>
      </c>
      <c r="H38" s="3">
        <v>59450.114500000003</v>
      </c>
      <c r="I38" s="3">
        <v>1545.0243</v>
      </c>
      <c r="J38" s="3">
        <v>468.59820000000002</v>
      </c>
      <c r="K38" s="3">
        <v>75667.463099999994</v>
      </c>
      <c r="L38" s="3">
        <v>1174.1206</v>
      </c>
      <c r="M38" s="3">
        <v>178.32</v>
      </c>
      <c r="N38" s="3">
        <v>41350.975899999998</v>
      </c>
      <c r="O38" s="56">
        <f t="shared" si="2"/>
        <v>1.4278714045592715</v>
      </c>
      <c r="P38" s="56">
        <f t="shared" si="3"/>
        <v>2.6139679310457842</v>
      </c>
      <c r="Q38" s="56">
        <f t="shared" si="1"/>
        <v>1.2727891903387334</v>
      </c>
    </row>
    <row r="39" spans="1:17" ht="13.5" thickBot="1" x14ac:dyDescent="0.25">
      <c r="A39" s="48" t="s">
        <v>36</v>
      </c>
      <c r="B39" s="3">
        <v>0.99772647026373296</v>
      </c>
      <c r="C39" s="3">
        <v>1347.7229</v>
      </c>
      <c r="D39" s="3">
        <v>600.5625</v>
      </c>
      <c r="E39" s="3">
        <v>94892.119600000005</v>
      </c>
      <c r="F39" s="3">
        <v>1589.7628</v>
      </c>
      <c r="G39" s="3">
        <v>739.74670000000003</v>
      </c>
      <c r="H39" s="3">
        <v>92182.691600000006</v>
      </c>
      <c r="I39" s="3">
        <v>1500</v>
      </c>
      <c r="J39" s="3">
        <v>490.96170000000001</v>
      </c>
      <c r="K39" s="3">
        <v>96237.437900000004</v>
      </c>
      <c r="L39" s="3">
        <v>1235.4435000000001</v>
      </c>
      <c r="M39" s="3">
        <v>338.35289999999998</v>
      </c>
      <c r="N39" s="3">
        <v>86743.041800000006</v>
      </c>
      <c r="O39" s="56">
        <f t="shared" si="2"/>
        <v>0.81184883960955823</v>
      </c>
      <c r="P39" s="56">
        <f t="shared" si="3"/>
        <v>1.0293919384753569</v>
      </c>
      <c r="Q39" s="56">
        <f t="shared" si="1"/>
        <v>1.0439859829391225</v>
      </c>
    </row>
    <row r="40" spans="1:17" ht="12.75" x14ac:dyDescent="0.2">
      <c r="A40" s="46" t="s">
        <v>41</v>
      </c>
      <c r="B40" s="3">
        <v>0.99844935998237205</v>
      </c>
      <c r="C40" s="3">
        <v>1345.3724999999999</v>
      </c>
      <c r="D40" s="3">
        <v>653.15729999999996</v>
      </c>
      <c r="E40" s="3">
        <v>110024.6835</v>
      </c>
      <c r="F40" s="3">
        <v>1594.2547999999999</v>
      </c>
      <c r="G40" s="3">
        <v>696.17309999999998</v>
      </c>
      <c r="H40" s="3">
        <v>69445.462499999994</v>
      </c>
      <c r="I40" s="3">
        <v>1519.1415</v>
      </c>
      <c r="J40" s="3">
        <v>359.9434</v>
      </c>
      <c r="K40" s="3">
        <v>61747.358999999997</v>
      </c>
      <c r="L40" s="3">
        <v>1207.5219999999999</v>
      </c>
      <c r="M40" s="3">
        <v>222.91919999999999</v>
      </c>
      <c r="N40" s="3">
        <v>48916.146000000001</v>
      </c>
      <c r="O40" s="56">
        <f t="shared" si="2"/>
        <v>0.93821105699142926</v>
      </c>
      <c r="P40" s="56">
        <f t="shared" si="3"/>
        <v>1.5843322160897122</v>
      </c>
      <c r="Q40" s="56">
        <f t="shared" si="1"/>
        <v>0.88914893467661771</v>
      </c>
    </row>
    <row r="41" spans="1:17" ht="13.5" thickBot="1" x14ac:dyDescent="0.25">
      <c r="A41" s="48" t="s">
        <v>42</v>
      </c>
      <c r="B41" s="3">
        <v>0.99680709795740796</v>
      </c>
      <c r="C41" s="3">
        <v>1337.0591999999999</v>
      </c>
      <c r="D41" s="3">
        <v>614.11149999999998</v>
      </c>
      <c r="E41" s="3">
        <v>91263.316999999995</v>
      </c>
      <c r="F41" s="3">
        <v>1595.3922</v>
      </c>
      <c r="G41" s="3">
        <v>755.70519999999999</v>
      </c>
      <c r="H41" s="3">
        <v>63513.977899999998</v>
      </c>
      <c r="I41" s="3">
        <v>1505.6650999999999</v>
      </c>
      <c r="J41" s="3">
        <v>259.77359999999999</v>
      </c>
      <c r="K41" s="3">
        <v>44049.556600000004</v>
      </c>
      <c r="L41" s="3">
        <v>1198.1407999999999</v>
      </c>
      <c r="M41" s="3">
        <v>207.6157</v>
      </c>
      <c r="N41" s="3">
        <v>40086.068800000001</v>
      </c>
      <c r="O41" s="56">
        <f t="shared" si="2"/>
        <v>0.81263368308170958</v>
      </c>
      <c r="P41" s="56">
        <f t="shared" si="3"/>
        <v>1.4369012935025125</v>
      </c>
      <c r="Q41" s="56">
        <f t="shared" si="1"/>
        <v>0.69354113939067275</v>
      </c>
    </row>
    <row r="42" spans="1:17" ht="12.75" x14ac:dyDescent="0.2">
      <c r="A42" s="46" t="s">
        <v>43</v>
      </c>
      <c r="B42" s="3">
        <v>0.997602243668259</v>
      </c>
      <c r="C42" s="3">
        <v>1339.0709999999999</v>
      </c>
      <c r="D42" s="3">
        <v>779.66890000000001</v>
      </c>
      <c r="E42" s="3">
        <v>129728.89079999999</v>
      </c>
      <c r="F42" s="3">
        <v>1592.1153999999999</v>
      </c>
      <c r="G42" s="3">
        <v>584.47059999999999</v>
      </c>
      <c r="H42" s="3">
        <v>57369.222000000002</v>
      </c>
      <c r="I42" s="3">
        <v>1529.2207000000001</v>
      </c>
      <c r="J42" s="3">
        <v>331.1635</v>
      </c>
      <c r="K42" s="3">
        <v>53669.600100000003</v>
      </c>
      <c r="L42" s="3">
        <v>1182.7723000000001</v>
      </c>
      <c r="M42" s="3">
        <v>122.14570000000001</v>
      </c>
      <c r="N42" s="3">
        <v>13433.410099999999</v>
      </c>
      <c r="O42" s="56">
        <f t="shared" si="2"/>
        <v>1.3339745403789345</v>
      </c>
      <c r="P42" s="56">
        <f t="shared" si="3"/>
        <v>2.2612977181388305</v>
      </c>
      <c r="Q42" s="56">
        <f t="shared" si="1"/>
        <v>0.93551207823595728</v>
      </c>
    </row>
    <row r="43" spans="1:17" ht="12.75" x14ac:dyDescent="0.2">
      <c r="A43" s="47" t="s">
        <v>45</v>
      </c>
      <c r="B43" s="3">
        <v>0.99465787384608095</v>
      </c>
      <c r="C43" s="3">
        <v>1349.3838000000001</v>
      </c>
      <c r="D43" s="3">
        <v>623.67510000000004</v>
      </c>
      <c r="E43" s="3">
        <v>85049.3986</v>
      </c>
      <c r="F43" s="3">
        <v>1601.7762</v>
      </c>
      <c r="G43" s="3">
        <v>504.37790000000001</v>
      </c>
      <c r="H43" s="3">
        <v>48424.033100000001</v>
      </c>
      <c r="I43" s="3">
        <v>1525.3453999999999</v>
      </c>
      <c r="J43" s="3">
        <v>216.2585</v>
      </c>
      <c r="K43" s="3">
        <v>36409.050199999998</v>
      </c>
      <c r="L43" s="3">
        <v>1214.3653999999999</v>
      </c>
      <c r="M43" s="3">
        <v>107.42570000000001</v>
      </c>
      <c r="N43" s="3">
        <v>14836.5389</v>
      </c>
      <c r="O43" s="56">
        <f t="shared" si="2"/>
        <v>1.2365234479940537</v>
      </c>
      <c r="P43" s="56">
        <f t="shared" si="3"/>
        <v>1.756346862401265</v>
      </c>
      <c r="Q43" s="56">
        <f t="shared" si="1"/>
        <v>0.7518797561700824</v>
      </c>
    </row>
    <row r="44" spans="1:17" ht="12.75" x14ac:dyDescent="0.2">
      <c r="A44" s="47" t="s">
        <v>46</v>
      </c>
      <c r="B44" s="3">
        <v>0.99291605098514302</v>
      </c>
      <c r="C44" s="3">
        <v>1342.653</v>
      </c>
      <c r="D44" s="3">
        <v>693.80150000000003</v>
      </c>
      <c r="E44" s="3">
        <v>72340.433000000005</v>
      </c>
      <c r="F44" s="3">
        <v>1589.8279</v>
      </c>
      <c r="G44" s="3">
        <v>639.06799999999998</v>
      </c>
      <c r="H44" s="3">
        <v>64071.791599999997</v>
      </c>
      <c r="I44" s="3">
        <v>1485.4881</v>
      </c>
      <c r="J44" s="3">
        <v>163.2253</v>
      </c>
      <c r="K44" s="3">
        <v>32262.286</v>
      </c>
      <c r="L44" s="3">
        <v>1249.9999</v>
      </c>
      <c r="M44" s="3">
        <v>125.6379</v>
      </c>
      <c r="N44" s="3">
        <v>20143.5834</v>
      </c>
      <c r="O44" s="56">
        <f t="shared" si="2"/>
        <v>1.0856458154687765</v>
      </c>
      <c r="P44" s="56">
        <f t="shared" si="3"/>
        <v>1.1290527577505731</v>
      </c>
      <c r="Q44" s="56">
        <f t="shared" si="1"/>
        <v>0.50353338332433961</v>
      </c>
    </row>
    <row r="45" spans="1:17" ht="13.5" thickBot="1" x14ac:dyDescent="0.25">
      <c r="A45" s="48" t="s">
        <v>47</v>
      </c>
      <c r="B45" s="3">
        <v>0.989611962002235</v>
      </c>
      <c r="C45" s="3">
        <v>1345.527</v>
      </c>
      <c r="D45" s="3">
        <v>730.7242</v>
      </c>
      <c r="E45" s="3">
        <v>64051.453200000004</v>
      </c>
      <c r="F45" s="3">
        <v>1598.8939</v>
      </c>
      <c r="G45" s="3">
        <v>561.57669999999996</v>
      </c>
      <c r="H45" s="3">
        <v>52556.465799999998</v>
      </c>
      <c r="I45" s="3">
        <v>1480</v>
      </c>
      <c r="J45" s="3">
        <v>88.3857</v>
      </c>
      <c r="K45" s="3">
        <v>19122.775399999999</v>
      </c>
      <c r="L45" s="3">
        <v>1250</v>
      </c>
      <c r="M45" s="3">
        <v>82.398799999999994</v>
      </c>
      <c r="N45" s="3">
        <v>12906.703299999999</v>
      </c>
      <c r="O45" s="56">
        <f t="shared" si="2"/>
        <v>1.3012010647877663</v>
      </c>
      <c r="P45" s="56">
        <f t="shared" si="3"/>
        <v>1.2187169023834934</v>
      </c>
      <c r="Q45" s="56">
        <f t="shared" si="1"/>
        <v>0.36385200391461631</v>
      </c>
    </row>
    <row r="46" spans="1:17" ht="12.75" x14ac:dyDescent="0.2">
      <c r="A46" s="46" t="s">
        <v>48</v>
      </c>
      <c r="B46" s="3">
        <v>0.99732587965008401</v>
      </c>
      <c r="C46" s="3">
        <v>1339.8861999999999</v>
      </c>
      <c r="D46" s="3">
        <v>509.75189999999998</v>
      </c>
      <c r="E46" s="3">
        <v>85988.881999999998</v>
      </c>
      <c r="F46" s="3">
        <v>1592.8649</v>
      </c>
      <c r="G46" s="3">
        <v>613.36170000000004</v>
      </c>
      <c r="H46" s="3">
        <v>76950.629100000006</v>
      </c>
      <c r="I46" s="3">
        <v>1500</v>
      </c>
      <c r="J46" s="3">
        <v>336.49220000000003</v>
      </c>
      <c r="K46" s="3">
        <v>64274.9856</v>
      </c>
      <c r="L46" s="3">
        <v>1243.8599999999999</v>
      </c>
      <c r="M46" s="3">
        <v>231.97399999999999</v>
      </c>
      <c r="N46" s="3">
        <v>80034.993700000006</v>
      </c>
      <c r="O46" s="56">
        <f t="shared" si="2"/>
        <v>0.83107879086679193</v>
      </c>
      <c r="P46" s="56">
        <f t="shared" si="3"/>
        <v>1.1174552177897659</v>
      </c>
      <c r="Q46" s="56">
        <f t="shared" si="1"/>
        <v>0.83527563519295511</v>
      </c>
    </row>
    <row r="47" spans="1:17" ht="12.75" x14ac:dyDescent="0.2">
      <c r="A47" s="47" t="s">
        <v>157</v>
      </c>
      <c r="B47" s="3">
        <v>0.99884314357059101</v>
      </c>
      <c r="C47" s="3">
        <v>1342.4255000000001</v>
      </c>
      <c r="D47" s="3">
        <v>587.19330000000002</v>
      </c>
      <c r="E47" s="3">
        <v>76318.376099999994</v>
      </c>
      <c r="F47" s="3">
        <v>1589.2299</v>
      </c>
      <c r="G47" s="3">
        <v>748.81089999999995</v>
      </c>
      <c r="H47" s="3">
        <v>87340.504300000001</v>
      </c>
      <c r="I47" s="3">
        <v>1500</v>
      </c>
      <c r="J47" s="3">
        <v>280.17250000000001</v>
      </c>
      <c r="K47" s="3">
        <v>51317.865899999997</v>
      </c>
      <c r="L47" s="3">
        <v>1276.7002</v>
      </c>
      <c r="M47" s="3">
        <v>263.39319999999998</v>
      </c>
      <c r="N47" s="3">
        <v>91738.811400000006</v>
      </c>
      <c r="O47" s="56">
        <f t="shared" si="2"/>
        <v>0.78416767170456525</v>
      </c>
      <c r="P47" s="56">
        <f t="shared" si="3"/>
        <v>0.87380278728250937</v>
      </c>
      <c r="Q47" s="56">
        <f t="shared" si="1"/>
        <v>0.58756090672125871</v>
      </c>
    </row>
    <row r="48" spans="1:17" ht="12.75" x14ac:dyDescent="0.2">
      <c r="A48" s="47" t="s">
        <v>49</v>
      </c>
      <c r="B48" s="3">
        <v>0.99141439141474796</v>
      </c>
      <c r="C48" s="3">
        <v>1337.3937000000001</v>
      </c>
      <c r="D48" s="3">
        <v>706.06809999999996</v>
      </c>
      <c r="E48" s="3">
        <v>74433.603499999997</v>
      </c>
      <c r="F48" s="3">
        <v>1588.6509000000001</v>
      </c>
      <c r="G48" s="3">
        <v>733.05650000000003</v>
      </c>
      <c r="H48" s="3">
        <v>72951.680600000007</v>
      </c>
      <c r="I48" s="3">
        <v>1484.9258</v>
      </c>
      <c r="J48" s="3">
        <v>112.20740000000001</v>
      </c>
      <c r="K48" s="3">
        <v>21166.788700000001</v>
      </c>
      <c r="L48" s="3">
        <v>1267.0415</v>
      </c>
      <c r="M48" s="3">
        <v>156.399</v>
      </c>
      <c r="N48" s="3">
        <v>58384.353799999997</v>
      </c>
      <c r="O48" s="56">
        <f t="shared" si="2"/>
        <v>0.96318373822481618</v>
      </c>
      <c r="P48" s="56">
        <f t="shared" si="3"/>
        <v>1.0203137595708796</v>
      </c>
      <c r="Q48" s="56">
        <f t="shared" si="1"/>
        <v>0.29014806137310561</v>
      </c>
    </row>
    <row r="49" spans="1:18" ht="12.75" x14ac:dyDescent="0.2">
      <c r="A49" s="47" t="s">
        <v>50</v>
      </c>
      <c r="B49" s="3">
        <v>0.99911157509493598</v>
      </c>
      <c r="C49" s="3">
        <v>1345.5109</v>
      </c>
      <c r="D49" s="3">
        <v>612.52930000000003</v>
      </c>
      <c r="E49" s="3">
        <v>96527.979000000007</v>
      </c>
      <c r="F49" s="3">
        <v>1591.8842999999999</v>
      </c>
      <c r="G49" s="3">
        <v>763.75670000000002</v>
      </c>
      <c r="H49" s="3">
        <v>96299.801000000007</v>
      </c>
      <c r="I49" s="3">
        <v>1500</v>
      </c>
      <c r="J49" s="3">
        <v>341.2996</v>
      </c>
      <c r="K49" s="3">
        <v>60467.240400000002</v>
      </c>
      <c r="L49" s="3">
        <v>1244.3888999999999</v>
      </c>
      <c r="M49" s="3">
        <v>283.99970000000002</v>
      </c>
      <c r="N49" s="3">
        <v>87842.019400000005</v>
      </c>
      <c r="O49" s="56">
        <f t="shared" si="2"/>
        <v>0.80199532128490658</v>
      </c>
      <c r="P49" s="56">
        <f t="shared" si="3"/>
        <v>1.0023694545329331</v>
      </c>
      <c r="Q49" s="56">
        <f t="shared" si="1"/>
        <v>0.62790618227757289</v>
      </c>
    </row>
    <row r="50" spans="1:18" ht="12.75" x14ac:dyDescent="0.2">
      <c r="A50" s="47" t="s">
        <v>51</v>
      </c>
      <c r="B50" s="3">
        <v>0.99658373580648996</v>
      </c>
      <c r="C50" s="3">
        <v>1343.5359000000001</v>
      </c>
      <c r="D50" s="3">
        <v>643.63469999999995</v>
      </c>
      <c r="E50" s="3">
        <v>81391.456200000001</v>
      </c>
      <c r="F50" s="3">
        <v>1590.9476999999999</v>
      </c>
      <c r="G50" s="3">
        <v>729.8723</v>
      </c>
      <c r="H50" s="3">
        <v>79168.003899999996</v>
      </c>
      <c r="I50" s="3">
        <v>1500</v>
      </c>
      <c r="J50" s="3">
        <v>248.995</v>
      </c>
      <c r="K50" s="3">
        <v>44764.535400000001</v>
      </c>
      <c r="L50" s="3">
        <v>1265.7646</v>
      </c>
      <c r="M50" s="3">
        <v>241.25790000000001</v>
      </c>
      <c r="N50" s="3">
        <v>72258.713900000002</v>
      </c>
      <c r="O50" s="56">
        <f t="shared" si="2"/>
        <v>0.88184563244830627</v>
      </c>
      <c r="P50" s="56">
        <f t="shared" si="3"/>
        <v>1.028085238865041</v>
      </c>
      <c r="Q50" s="56">
        <f t="shared" si="1"/>
        <v>0.56543721193910257</v>
      </c>
    </row>
    <row r="51" spans="1:18" ht="13.5" thickBot="1" x14ac:dyDescent="0.25">
      <c r="A51" s="48" t="s">
        <v>52</v>
      </c>
      <c r="B51" s="3">
        <v>0.99575752428161601</v>
      </c>
      <c r="C51" s="3">
        <v>1342.4059999999999</v>
      </c>
      <c r="D51" s="3">
        <v>578.91639999999995</v>
      </c>
      <c r="E51" s="3">
        <v>54906.256000000001</v>
      </c>
      <c r="F51" s="3">
        <v>1591.2519</v>
      </c>
      <c r="G51" s="3">
        <v>655.24879999999996</v>
      </c>
      <c r="H51" s="3">
        <v>71170.938099999999</v>
      </c>
      <c r="I51" s="3">
        <v>1475.2773999999999</v>
      </c>
      <c r="J51" s="3">
        <v>166.429</v>
      </c>
      <c r="K51" s="3">
        <v>34052.649100000002</v>
      </c>
      <c r="L51" s="3">
        <v>1290</v>
      </c>
      <c r="M51" s="3">
        <v>209.392</v>
      </c>
      <c r="N51" s="3">
        <v>62664.761400000003</v>
      </c>
      <c r="O51" s="56">
        <f t="shared" si="2"/>
        <v>0.88350623457837696</v>
      </c>
      <c r="P51" s="56">
        <f t="shared" si="3"/>
        <v>0.77147017400350948</v>
      </c>
      <c r="Q51" s="56">
        <f t="shared" si="1"/>
        <v>0.47846283903345099</v>
      </c>
    </row>
    <row r="52" spans="1:18" ht="12.75" x14ac:dyDescent="0.2">
      <c r="A52" s="46" t="s">
        <v>53</v>
      </c>
      <c r="B52" s="3">
        <v>0.99657975447408298</v>
      </c>
      <c r="C52" s="3">
        <v>1358</v>
      </c>
      <c r="D52" s="3">
        <v>882.91830000000004</v>
      </c>
      <c r="E52" s="3">
        <v>147286.80170000001</v>
      </c>
      <c r="F52" s="3">
        <v>1608.2371000000001</v>
      </c>
      <c r="G52" s="3">
        <v>735.67629999999997</v>
      </c>
      <c r="H52" s="3">
        <v>70362.612899999993</v>
      </c>
      <c r="I52" s="3">
        <v>1543.0554999999999</v>
      </c>
      <c r="J52" s="3">
        <v>412.41640000000001</v>
      </c>
      <c r="K52" s="3">
        <v>65515.032899999998</v>
      </c>
      <c r="L52" s="3">
        <v>1195.7137</v>
      </c>
      <c r="M52" s="3">
        <v>184.6961</v>
      </c>
      <c r="N52" s="3">
        <v>35988.637900000002</v>
      </c>
      <c r="O52" s="56">
        <f t="shared" si="2"/>
        <v>1.2001450909863483</v>
      </c>
      <c r="P52" s="56">
        <f t="shared" si="3"/>
        <v>2.0932537270798259</v>
      </c>
      <c r="Q52" s="56">
        <f t="shared" si="1"/>
        <v>0.9311057420950325</v>
      </c>
    </row>
    <row r="53" spans="1:18" ht="12.75" x14ac:dyDescent="0.2">
      <c r="A53" s="47" t="s">
        <v>54</v>
      </c>
      <c r="B53" s="3">
        <v>0.99452314827000998</v>
      </c>
      <c r="C53" s="3">
        <v>1359.0532000000001</v>
      </c>
      <c r="D53" s="3">
        <v>752.45180000000005</v>
      </c>
      <c r="E53" s="3">
        <v>98555.795400000003</v>
      </c>
      <c r="F53" s="3">
        <v>1605.1155000000001</v>
      </c>
      <c r="G53" s="3">
        <v>760.98490000000004</v>
      </c>
      <c r="H53" s="3">
        <v>73192.266000000003</v>
      </c>
      <c r="I53" s="3">
        <v>1526.9085</v>
      </c>
      <c r="J53" s="3">
        <v>327.45420000000001</v>
      </c>
      <c r="K53" s="3">
        <v>56409.619899999998</v>
      </c>
      <c r="L53" s="3">
        <v>1250</v>
      </c>
      <c r="M53" s="3">
        <v>190.2456</v>
      </c>
      <c r="N53" s="3">
        <v>45953.372499999998</v>
      </c>
      <c r="O53" s="56">
        <f t="shared" si="2"/>
        <v>0.98878676830512668</v>
      </c>
      <c r="P53" s="56">
        <f t="shared" si="3"/>
        <v>1.3465329164696171</v>
      </c>
      <c r="Q53" s="56">
        <f t="shared" si="1"/>
        <v>0.77070465204616012</v>
      </c>
    </row>
    <row r="54" spans="1:18" ht="13.5" thickBot="1" x14ac:dyDescent="0.25">
      <c r="A54" s="48" t="s">
        <v>55</v>
      </c>
      <c r="B54" s="3">
        <v>0.99047951958302005</v>
      </c>
      <c r="C54" s="3">
        <v>1353.6329000000001</v>
      </c>
      <c r="D54" s="3">
        <v>724.76409999999998</v>
      </c>
      <c r="E54" s="3">
        <v>75474.8652</v>
      </c>
      <c r="F54" s="3">
        <v>1604.0532000000001</v>
      </c>
      <c r="G54" s="3">
        <v>660.92039999999997</v>
      </c>
      <c r="H54" s="3">
        <v>61918.689400000003</v>
      </c>
      <c r="I54" s="3">
        <v>1506.2460000000001</v>
      </c>
      <c r="J54" s="3">
        <v>156.95689999999999</v>
      </c>
      <c r="K54" s="3">
        <v>29296.566599999998</v>
      </c>
      <c r="L54" s="3">
        <v>1250</v>
      </c>
      <c r="M54" s="3">
        <v>126.4298</v>
      </c>
      <c r="N54" s="3">
        <v>28715.463100000001</v>
      </c>
      <c r="O54" s="56">
        <f t="shared" si="2"/>
        <v>1.0965981682514263</v>
      </c>
      <c r="P54" s="56">
        <f t="shared" si="3"/>
        <v>1.2189351217114102</v>
      </c>
      <c r="Q54" s="56">
        <f t="shared" si="1"/>
        <v>0.47314578011723868</v>
      </c>
    </row>
    <row r="55" spans="1:18" ht="12.75" x14ac:dyDescent="0.2">
      <c r="A55" s="46" t="s">
        <v>56</v>
      </c>
      <c r="B55" s="3">
        <v>0.99581437249374305</v>
      </c>
      <c r="C55" s="3">
        <v>1334.7483</v>
      </c>
      <c r="D55" s="3">
        <v>900.13149999999996</v>
      </c>
      <c r="E55" s="3">
        <v>152741.61309999999</v>
      </c>
      <c r="F55" s="3">
        <v>1588.7833000000001</v>
      </c>
      <c r="G55" s="3">
        <v>724.73519999999996</v>
      </c>
      <c r="H55" s="3">
        <v>64925.319900000002</v>
      </c>
      <c r="I55" s="3">
        <v>1524.1488999999999</v>
      </c>
      <c r="J55" s="3">
        <v>367.2054</v>
      </c>
      <c r="K55" s="3">
        <v>55993.065000000002</v>
      </c>
      <c r="L55" s="3">
        <v>1174.4498000000001</v>
      </c>
      <c r="M55" s="3">
        <v>133.63810000000001</v>
      </c>
      <c r="N55" s="3">
        <v>14054.605299999999</v>
      </c>
      <c r="O55" s="56">
        <f t="shared" si="2"/>
        <v>1.2420143246802418</v>
      </c>
      <c r="P55" s="56">
        <f t="shared" si="3"/>
        <v>2.3525739008334092</v>
      </c>
      <c r="Q55" s="56">
        <f t="shared" si="1"/>
        <v>0.86242262781673251</v>
      </c>
    </row>
    <row r="56" spans="1:18" ht="12.75" x14ac:dyDescent="0.2">
      <c r="A56" s="47" t="s">
        <v>57</v>
      </c>
      <c r="B56" s="3">
        <v>0.99468495338318497</v>
      </c>
      <c r="C56" s="3">
        <v>1341.9036000000001</v>
      </c>
      <c r="D56" s="3">
        <v>492.8433</v>
      </c>
      <c r="E56" s="3">
        <v>70639.153200000001</v>
      </c>
      <c r="F56" s="3">
        <v>1586.7188000000001</v>
      </c>
      <c r="G56" s="3">
        <v>409.86540000000002</v>
      </c>
      <c r="H56" s="3">
        <v>38084.409800000001</v>
      </c>
      <c r="I56" s="3">
        <v>1514.3515</v>
      </c>
      <c r="J56" s="3">
        <v>186.5188</v>
      </c>
      <c r="K56" s="3">
        <v>29932.142800000001</v>
      </c>
      <c r="L56" s="3">
        <v>1215.4683</v>
      </c>
      <c r="M56" s="3">
        <v>99.813599999999994</v>
      </c>
      <c r="N56" s="3">
        <v>16145.6993</v>
      </c>
      <c r="O56" s="56">
        <f t="shared" si="2"/>
        <v>1.2024515853253286</v>
      </c>
      <c r="P56" s="56">
        <f t="shared" si="3"/>
        <v>1.8548049863700395</v>
      </c>
      <c r="Q56" s="56">
        <f t="shared" si="1"/>
        <v>0.78594214685716357</v>
      </c>
    </row>
    <row r="57" spans="1:18" ht="12.75" x14ac:dyDescent="0.2">
      <c r="A57" s="47" t="s">
        <v>58</v>
      </c>
      <c r="B57" s="3">
        <v>0.99420627768362602</v>
      </c>
      <c r="C57" s="3">
        <v>1342.1575</v>
      </c>
      <c r="D57" s="3">
        <v>533.93610000000001</v>
      </c>
      <c r="E57" s="3">
        <v>71082.562300000005</v>
      </c>
      <c r="F57" s="3">
        <v>1586.0878</v>
      </c>
      <c r="G57" s="3">
        <v>505.22669999999999</v>
      </c>
      <c r="H57" s="3">
        <v>48019.407500000001</v>
      </c>
      <c r="I57" s="3">
        <v>1516.3254999999999</v>
      </c>
      <c r="J57" s="3">
        <v>206.47659999999999</v>
      </c>
      <c r="K57" s="3">
        <v>33646.3125</v>
      </c>
      <c r="L57" s="3">
        <v>1250</v>
      </c>
      <c r="M57" s="3">
        <v>142.16839999999999</v>
      </c>
      <c r="N57" s="3">
        <v>36503.433700000001</v>
      </c>
      <c r="O57" s="56">
        <f t="shared" si="2"/>
        <v>1.0568247877635921</v>
      </c>
      <c r="P57" s="56">
        <f t="shared" si="3"/>
        <v>1.4802882001407451</v>
      </c>
      <c r="Q57" s="56">
        <f t="shared" si="1"/>
        <v>0.70068154214522538</v>
      </c>
    </row>
    <row r="58" spans="1:18" ht="13.5" thickBot="1" x14ac:dyDescent="0.25">
      <c r="A58" s="48" t="s">
        <v>59</v>
      </c>
      <c r="B58" s="3">
        <v>0.99154330896949905</v>
      </c>
      <c r="C58" s="3">
        <v>1335.7693999999999</v>
      </c>
      <c r="D58" s="3">
        <v>705.6037</v>
      </c>
      <c r="E58" s="3">
        <v>74897.907099999997</v>
      </c>
      <c r="F58" s="3">
        <v>1582.0417</v>
      </c>
      <c r="G58" s="3">
        <v>670.64940000000001</v>
      </c>
      <c r="H58" s="3">
        <v>63657.077700000002</v>
      </c>
      <c r="I58" s="3">
        <v>1485.5831000000001</v>
      </c>
      <c r="J58" s="3">
        <v>170.83099999999999</v>
      </c>
      <c r="K58" s="3">
        <v>31852.795699999999</v>
      </c>
      <c r="L58" s="3">
        <v>1250</v>
      </c>
      <c r="M58" s="3">
        <v>148.1773</v>
      </c>
      <c r="N58" s="3">
        <v>35049.634899999997</v>
      </c>
      <c r="O58" s="56">
        <f t="shared" si="2"/>
        <v>1.0521200794334566</v>
      </c>
      <c r="P58" s="56">
        <f t="shared" si="3"/>
        <v>1.1765841255386438</v>
      </c>
      <c r="Q58" s="56">
        <f t="shared" si="1"/>
        <v>0.50038105503545593</v>
      </c>
    </row>
    <row r="59" spans="1:18" ht="12.75" x14ac:dyDescent="0.2">
      <c r="A59" s="46" t="s">
        <v>60</v>
      </c>
      <c r="B59" s="3">
        <v>0.99907089687682804</v>
      </c>
      <c r="C59" s="3">
        <v>1348.8488</v>
      </c>
      <c r="D59" s="3">
        <v>703.65689999999995</v>
      </c>
      <c r="E59" s="3">
        <v>115271.4126</v>
      </c>
      <c r="F59" s="3">
        <v>1593.3022000000001</v>
      </c>
      <c r="G59" s="3">
        <v>730.70180000000005</v>
      </c>
      <c r="H59" s="3">
        <v>85597.453800000003</v>
      </c>
      <c r="I59" s="3">
        <v>1520.1569999999999</v>
      </c>
      <c r="J59" s="3">
        <v>488.67939999999999</v>
      </c>
      <c r="K59" s="3">
        <v>87487.847099999999</v>
      </c>
      <c r="L59" s="3">
        <v>1246.69</v>
      </c>
      <c r="M59" s="3">
        <v>368.49209999999999</v>
      </c>
      <c r="N59" s="3">
        <v>112152.57919999999</v>
      </c>
      <c r="O59" s="56">
        <f t="shared" si="2"/>
        <v>0.96298777421925041</v>
      </c>
      <c r="P59" s="56">
        <f t="shared" si="3"/>
        <v>1.3466687089704061</v>
      </c>
      <c r="Q59" s="56">
        <f t="shared" si="1"/>
        <v>1.0220846907948562</v>
      </c>
      <c r="R59" s="57" t="s">
        <v>172</v>
      </c>
    </row>
    <row r="60" spans="1:18" ht="12.75" x14ac:dyDescent="0.2">
      <c r="A60" s="47" t="s">
        <v>61</v>
      </c>
      <c r="B60" s="3">
        <v>0.99907317372947102</v>
      </c>
      <c r="C60" s="3">
        <v>1345.0101999999999</v>
      </c>
      <c r="D60" s="3">
        <v>755.48170000000005</v>
      </c>
      <c r="E60" s="3">
        <v>112746.4617</v>
      </c>
      <c r="F60" s="3">
        <v>1590.2918999999999</v>
      </c>
      <c r="G60" s="3">
        <v>925.09429999999998</v>
      </c>
      <c r="H60" s="3">
        <v>99572.694499999998</v>
      </c>
      <c r="I60" s="3">
        <v>1510.6759999999999</v>
      </c>
      <c r="J60" s="3">
        <v>489.44600000000003</v>
      </c>
      <c r="K60" s="3">
        <v>87767.750899999999</v>
      </c>
      <c r="L60" s="3">
        <v>1249.9836</v>
      </c>
      <c r="M60" s="3">
        <v>468.8886</v>
      </c>
      <c r="N60" s="3">
        <v>129953.768</v>
      </c>
      <c r="O60" s="56">
        <f t="shared" si="2"/>
        <v>0.81665371843713674</v>
      </c>
      <c r="P60" s="56">
        <f t="shared" si="3"/>
        <v>1.1323030100385603</v>
      </c>
      <c r="Q60" s="56">
        <f t="shared" si="1"/>
        <v>0.88144396755277121</v>
      </c>
      <c r="R60" s="57" t="s">
        <v>172</v>
      </c>
    </row>
    <row r="61" spans="1:18" ht="12.75" x14ac:dyDescent="0.2">
      <c r="A61" s="47" t="s">
        <v>62</v>
      </c>
      <c r="B61" s="3">
        <v>0.99954802570825296</v>
      </c>
      <c r="C61" s="3">
        <v>1343.9963</v>
      </c>
      <c r="D61" s="3">
        <v>734.51859999999999</v>
      </c>
      <c r="E61" s="3">
        <v>114832.8927</v>
      </c>
      <c r="F61" s="3">
        <v>1589.7195999999999</v>
      </c>
      <c r="G61" s="3">
        <v>858.59760000000006</v>
      </c>
      <c r="H61" s="3">
        <v>101771.7083</v>
      </c>
      <c r="I61" s="3">
        <v>1511.9219000000001</v>
      </c>
      <c r="J61" s="3">
        <v>517.61310000000003</v>
      </c>
      <c r="K61" s="3">
        <v>95785.785000000003</v>
      </c>
      <c r="L61" s="3">
        <v>1250</v>
      </c>
      <c r="M61" s="3">
        <v>445.86430000000001</v>
      </c>
      <c r="N61" s="3">
        <v>133602.67139999999</v>
      </c>
      <c r="O61" s="56">
        <f t="shared" si="2"/>
        <v>0.85548643508903355</v>
      </c>
      <c r="P61" s="56">
        <f t="shared" si="3"/>
        <v>1.1283380678007151</v>
      </c>
      <c r="Q61" s="56">
        <f t="shared" si="1"/>
        <v>0.94118283558378679</v>
      </c>
      <c r="R61" s="57" t="s">
        <v>172</v>
      </c>
    </row>
    <row r="62" spans="1:18" ht="13.5" thickBot="1" x14ac:dyDescent="0.25">
      <c r="A62" s="48" t="s">
        <v>63</v>
      </c>
      <c r="B62" s="3">
        <v>0.99930167636337597</v>
      </c>
      <c r="C62" s="3">
        <v>1343.5146</v>
      </c>
      <c r="D62" s="3">
        <v>541.90009999999995</v>
      </c>
      <c r="E62" s="3">
        <v>84135.235499999995</v>
      </c>
      <c r="F62" s="3">
        <v>1589.3592000000001</v>
      </c>
      <c r="G62" s="3">
        <v>610.01480000000004</v>
      </c>
      <c r="H62" s="3">
        <v>69693.863500000007</v>
      </c>
      <c r="I62" s="3">
        <v>1515.6123</v>
      </c>
      <c r="J62" s="3">
        <v>375.99329999999998</v>
      </c>
      <c r="K62" s="3">
        <v>69652.911500000002</v>
      </c>
      <c r="L62" s="3">
        <v>1250</v>
      </c>
      <c r="M62" s="3">
        <v>304.33659999999998</v>
      </c>
      <c r="N62" s="3">
        <v>91781.823900000003</v>
      </c>
      <c r="O62" s="56">
        <f t="shared" si="2"/>
        <v>0.88833926652271378</v>
      </c>
      <c r="P62" s="56">
        <f t="shared" si="3"/>
        <v>1.2072115287452816</v>
      </c>
      <c r="Q62" s="56">
        <f t="shared" si="1"/>
        <v>0.99941240163848855</v>
      </c>
      <c r="R62" s="57" t="s">
        <v>172</v>
      </c>
    </row>
    <row r="63" spans="1:18" ht="13.5" thickBot="1" x14ac:dyDescent="0.25">
      <c r="A63" s="50" t="s">
        <v>64</v>
      </c>
      <c r="B63" s="3">
        <v>0.99953903930297305</v>
      </c>
      <c r="C63" s="3">
        <v>1340.0023000000001</v>
      </c>
      <c r="D63" s="3">
        <v>723.54110000000003</v>
      </c>
      <c r="E63" s="3">
        <v>128784.8985</v>
      </c>
      <c r="F63" s="3">
        <v>1579.1279999999999</v>
      </c>
      <c r="G63" s="3">
        <v>578.85519999999997</v>
      </c>
      <c r="H63" s="3">
        <v>69062.944000000003</v>
      </c>
      <c r="I63" s="3">
        <v>1518.8606</v>
      </c>
      <c r="J63" s="3">
        <v>473.68049999999999</v>
      </c>
      <c r="K63" s="3">
        <v>77939.309200000003</v>
      </c>
      <c r="L63" s="3">
        <v>1211.0120999999999</v>
      </c>
      <c r="M63" s="3">
        <v>272.22149999999999</v>
      </c>
      <c r="N63" s="3">
        <v>81844.806500000006</v>
      </c>
      <c r="O63" s="56">
        <f t="shared" si="2"/>
        <v>1.2499518014176949</v>
      </c>
      <c r="P63" s="56">
        <f t="shared" si="3"/>
        <v>1.8647467229314751</v>
      </c>
      <c r="Q63" s="56">
        <f t="shared" si="1"/>
        <v>1.1285257286454513</v>
      </c>
    </row>
    <row r="64" spans="1:18" ht="12.75" x14ac:dyDescent="0.2">
      <c r="A64" s="46" t="s">
        <v>65</v>
      </c>
      <c r="B64" s="3">
        <v>0.99926786438515602</v>
      </c>
      <c r="C64" s="3">
        <v>1351.0170000000001</v>
      </c>
      <c r="D64" s="3">
        <v>678.43280000000004</v>
      </c>
      <c r="E64" s="3">
        <v>92715.745999999999</v>
      </c>
      <c r="F64" s="3">
        <v>1591.6125</v>
      </c>
      <c r="G64" s="3">
        <v>818.75329999999997</v>
      </c>
      <c r="H64" s="3">
        <v>92079.492800000007</v>
      </c>
      <c r="I64" s="3">
        <v>1505.1488999999999</v>
      </c>
      <c r="J64" s="3">
        <v>320.97370000000001</v>
      </c>
      <c r="K64" s="3">
        <v>52374.850400000003</v>
      </c>
      <c r="L64" s="3">
        <v>1250</v>
      </c>
      <c r="M64" s="3">
        <v>227.93960000000001</v>
      </c>
      <c r="N64" s="3">
        <v>61292.573900000003</v>
      </c>
      <c r="O64" s="56">
        <f t="shared" si="2"/>
        <v>0.8286168739716836</v>
      </c>
      <c r="P64" s="56">
        <f t="shared" si="3"/>
        <v>1.006909825202686</v>
      </c>
      <c r="Q64" s="56">
        <f t="shared" si="1"/>
        <v>0.56880037896994151</v>
      </c>
    </row>
    <row r="65" spans="1:18" ht="13.5" thickBot="1" x14ac:dyDescent="0.25">
      <c r="A65" s="48" t="s">
        <v>67</v>
      </c>
      <c r="B65" s="3">
        <v>0.997837048328861</v>
      </c>
      <c r="C65" s="3">
        <v>1357.8342</v>
      </c>
      <c r="D65" s="3">
        <v>643.32460000000003</v>
      </c>
      <c r="E65" s="3">
        <v>76906.524300000005</v>
      </c>
      <c r="F65" s="3">
        <v>1594.1090999999999</v>
      </c>
      <c r="G65" s="3">
        <v>781.6069</v>
      </c>
      <c r="H65" s="3">
        <v>86290.919399999999</v>
      </c>
      <c r="I65" s="3">
        <v>1513.1719000000001</v>
      </c>
      <c r="J65" s="3">
        <v>290.54410000000001</v>
      </c>
      <c r="K65" s="3">
        <v>50616.299599999998</v>
      </c>
      <c r="L65" s="3">
        <v>1280</v>
      </c>
      <c r="M65" s="3">
        <v>227.84440000000001</v>
      </c>
      <c r="N65" s="3">
        <v>63229.218500000003</v>
      </c>
      <c r="O65" s="56">
        <f t="shared" si="2"/>
        <v>0.82307947895546985</v>
      </c>
      <c r="P65" s="56">
        <f t="shared" si="3"/>
        <v>0.89124701457289146</v>
      </c>
      <c r="Q65" s="56">
        <f t="shared" si="1"/>
        <v>0.58657735891500995</v>
      </c>
    </row>
    <row r="66" spans="1:18" ht="12.75" x14ac:dyDescent="0.2">
      <c r="A66" s="46" t="s">
        <v>68</v>
      </c>
      <c r="B66" s="3">
        <v>0.998058915946888</v>
      </c>
      <c r="C66" s="3">
        <v>1348.3896</v>
      </c>
      <c r="D66" s="3">
        <v>825.17340000000002</v>
      </c>
      <c r="E66" s="3">
        <v>179871.6997</v>
      </c>
      <c r="F66" s="3">
        <v>1600.4253000000001</v>
      </c>
      <c r="G66" s="3">
        <v>555.57770000000005</v>
      </c>
      <c r="H66" s="3">
        <v>55395.838600000003</v>
      </c>
      <c r="I66" s="3">
        <v>1547.3225</v>
      </c>
      <c r="J66" s="3">
        <v>421.02949999999998</v>
      </c>
      <c r="K66" s="3">
        <v>64455.7955</v>
      </c>
      <c r="L66" s="3">
        <v>1159.261</v>
      </c>
      <c r="M66" s="3">
        <v>145.94900000000001</v>
      </c>
      <c r="N66" s="3">
        <v>22345.261699999999</v>
      </c>
      <c r="O66" s="56">
        <f t="shared" si="2"/>
        <v>1.4852529178186957</v>
      </c>
      <c r="P66" s="56">
        <f t="shared" si="3"/>
        <v>3.2470254850515068</v>
      </c>
      <c r="Q66" s="56">
        <f t="shared" si="1"/>
        <v>1.1635494132586341</v>
      </c>
    </row>
    <row r="67" spans="1:18" ht="12.75" x14ac:dyDescent="0.2">
      <c r="A67" s="47" t="s">
        <v>70</v>
      </c>
      <c r="B67" s="3">
        <v>0.99923590693828102</v>
      </c>
      <c r="C67" s="3">
        <v>1356.5018</v>
      </c>
      <c r="D67" s="3">
        <v>748.22950000000003</v>
      </c>
      <c r="E67" s="3">
        <v>145607.4241</v>
      </c>
      <c r="F67" s="3">
        <v>1590.308</v>
      </c>
      <c r="G67" s="3">
        <v>540.93510000000003</v>
      </c>
      <c r="H67" s="3">
        <v>61962.698499999999</v>
      </c>
      <c r="I67" s="3">
        <v>1537.4384</v>
      </c>
      <c r="J67" s="3">
        <v>476.32330000000002</v>
      </c>
      <c r="K67" s="3">
        <v>77097.877399999998</v>
      </c>
      <c r="L67" s="3">
        <v>1217.1921</v>
      </c>
      <c r="M67" s="3">
        <v>249.34800000000001</v>
      </c>
      <c r="N67" s="3">
        <v>66405.881599999993</v>
      </c>
      <c r="O67" s="56">
        <f t="shared" si="2"/>
        <v>1.3832149180188158</v>
      </c>
      <c r="P67" s="56">
        <f t="shared" si="3"/>
        <v>2.3499206397539321</v>
      </c>
      <c r="Q67" s="56">
        <f t="shared" si="1"/>
        <v>1.2442627462391749</v>
      </c>
    </row>
    <row r="68" spans="1:18" ht="12.75" x14ac:dyDescent="0.2">
      <c r="A68" s="47" t="s">
        <v>71</v>
      </c>
      <c r="B68" s="3">
        <v>0.99692405078676805</v>
      </c>
      <c r="C68" s="3">
        <v>1354.278</v>
      </c>
      <c r="D68" s="3">
        <v>663.78639999999996</v>
      </c>
      <c r="E68" s="3">
        <v>98679.435599999997</v>
      </c>
      <c r="F68" s="3">
        <v>1597.9679000000001</v>
      </c>
      <c r="G68" s="3">
        <v>664.74329999999998</v>
      </c>
      <c r="H68" s="3">
        <v>68935.145699999994</v>
      </c>
      <c r="I68" s="3">
        <v>1527.941</v>
      </c>
      <c r="J68" s="3">
        <v>359.9828</v>
      </c>
      <c r="K68" s="3">
        <v>60798.339399999997</v>
      </c>
      <c r="L68" s="3">
        <v>1250</v>
      </c>
      <c r="M68" s="3">
        <v>234.5138</v>
      </c>
      <c r="N68" s="3">
        <v>66521.354600000006</v>
      </c>
      <c r="O68" s="56">
        <f t="shared" si="2"/>
        <v>0.99856049696175953</v>
      </c>
      <c r="P68" s="56">
        <f t="shared" si="3"/>
        <v>1.4314822228626987</v>
      </c>
      <c r="Q68" s="56">
        <f t="shared" si="1"/>
        <v>0.88196432723286466</v>
      </c>
    </row>
    <row r="69" spans="1:18" ht="12.75" x14ac:dyDescent="0.2">
      <c r="A69" s="47" t="s">
        <v>72</v>
      </c>
      <c r="B69" s="3">
        <v>0.99405430833094499</v>
      </c>
      <c r="C69" s="3">
        <v>1341.8330000000001</v>
      </c>
      <c r="D69" s="3">
        <v>649.54809999999998</v>
      </c>
      <c r="E69" s="3">
        <v>66535.801000000007</v>
      </c>
      <c r="F69" s="3">
        <v>1586.8619000000001</v>
      </c>
      <c r="G69" s="3">
        <v>953.35799999999995</v>
      </c>
      <c r="H69" s="3">
        <v>101089.67049999999</v>
      </c>
      <c r="I69" s="3">
        <v>1450</v>
      </c>
      <c r="J69" s="3">
        <v>238.4716</v>
      </c>
      <c r="K69" s="3">
        <v>53487.038500000002</v>
      </c>
      <c r="L69" s="3">
        <v>1250</v>
      </c>
      <c r="M69" s="3">
        <v>204.5822</v>
      </c>
      <c r="N69" s="3">
        <v>49403.897700000001</v>
      </c>
      <c r="O69" s="56">
        <f t="shared" si="2"/>
        <v>0.68132653211070759</v>
      </c>
      <c r="P69" s="56">
        <f t="shared" si="3"/>
        <v>0.65818595184757289</v>
      </c>
      <c r="Q69" s="56">
        <f t="shared" ref="Q69:Q132" si="4">K69/H69</f>
        <v>0.52910488515243514</v>
      </c>
    </row>
    <row r="70" spans="1:18" ht="13.5" thickBot="1" x14ac:dyDescent="0.25">
      <c r="A70" s="48" t="s">
        <v>73</v>
      </c>
      <c r="B70" s="3">
        <v>0.99307762445980097</v>
      </c>
      <c r="C70" s="3">
        <v>1348.0320999999999</v>
      </c>
      <c r="D70" s="3">
        <v>685.60069999999996</v>
      </c>
      <c r="E70" s="3">
        <v>54170.553500000002</v>
      </c>
      <c r="F70" s="3">
        <v>1593.1985</v>
      </c>
      <c r="G70" s="3">
        <v>843.73649999999998</v>
      </c>
      <c r="H70" s="3">
        <v>85896.551399999997</v>
      </c>
      <c r="I70" s="3">
        <v>1450</v>
      </c>
      <c r="J70" s="3">
        <v>128.04939999999999</v>
      </c>
      <c r="K70" s="3">
        <v>28426.446899999999</v>
      </c>
      <c r="L70" s="3">
        <v>1290</v>
      </c>
      <c r="M70" s="3">
        <v>152.52099999999999</v>
      </c>
      <c r="N70" s="3">
        <v>39111.496800000001</v>
      </c>
      <c r="O70" s="56">
        <f t="shared" si="2"/>
        <v>0.81257679382129366</v>
      </c>
      <c r="P70" s="56">
        <f t="shared" si="3"/>
        <v>0.63064875850184599</v>
      </c>
      <c r="Q70" s="56">
        <f t="shared" si="4"/>
        <v>0.33093816266993925</v>
      </c>
    </row>
    <row r="71" spans="1:18" ht="12.75" x14ac:dyDescent="0.2">
      <c r="A71" s="46" t="s">
        <v>74</v>
      </c>
      <c r="B71">
        <v>0.99905435331276604</v>
      </c>
      <c r="C71">
        <v>1352.4099000000001</v>
      </c>
      <c r="D71">
        <v>611.02760000000001</v>
      </c>
      <c r="E71">
        <v>90617.164699999994</v>
      </c>
      <c r="F71">
        <v>1595.7380000000001</v>
      </c>
      <c r="G71">
        <v>709.92160000000001</v>
      </c>
      <c r="H71">
        <v>91263.050900000002</v>
      </c>
      <c r="I71">
        <v>1520.2108000000001</v>
      </c>
      <c r="J71">
        <v>406.88900000000001</v>
      </c>
      <c r="K71">
        <v>74604.858500000002</v>
      </c>
      <c r="L71">
        <v>1263.6131</v>
      </c>
      <c r="M71">
        <v>314.87799999999999</v>
      </c>
      <c r="N71">
        <v>112218.0895</v>
      </c>
      <c r="O71" s="56">
        <f t="shared" si="2"/>
        <v>0.86069729389836847</v>
      </c>
      <c r="P71" s="56">
        <f t="shared" si="3"/>
        <v>0.99292280727380322</v>
      </c>
      <c r="Q71" s="56">
        <f t="shared" si="4"/>
        <v>0.81747057285808977</v>
      </c>
    </row>
    <row r="72" spans="1:18" ht="12.75" x14ac:dyDescent="0.2">
      <c r="A72" s="47" t="s">
        <v>75</v>
      </c>
      <c r="B72">
        <v>0.99829745657073898</v>
      </c>
      <c r="C72">
        <v>1350.3733</v>
      </c>
      <c r="D72">
        <v>630.84029999999996</v>
      </c>
      <c r="E72">
        <v>79535.1014</v>
      </c>
      <c r="F72">
        <v>1594.3616</v>
      </c>
      <c r="G72">
        <v>725.04020000000003</v>
      </c>
      <c r="H72">
        <v>77936.736699999994</v>
      </c>
      <c r="I72">
        <v>1523.818</v>
      </c>
      <c r="J72">
        <v>305.55529999999999</v>
      </c>
      <c r="K72">
        <v>53597.063099999999</v>
      </c>
      <c r="L72">
        <v>1286.7867000000001</v>
      </c>
      <c r="M72">
        <v>278.90519999999998</v>
      </c>
      <c r="N72">
        <v>97005.058499999999</v>
      </c>
      <c r="O72" s="56">
        <f t="shared" si="2"/>
        <v>0.8700763074930189</v>
      </c>
      <c r="P72" s="56">
        <f t="shared" si="3"/>
        <v>1.0205084889062337</v>
      </c>
      <c r="Q72" s="56">
        <f t="shared" si="4"/>
        <v>0.68769960572393329</v>
      </c>
    </row>
    <row r="73" spans="1:18" ht="13.5" thickBot="1" x14ac:dyDescent="0.25">
      <c r="A73" s="48" t="s">
        <v>76</v>
      </c>
      <c r="B73">
        <v>0.99709491948029305</v>
      </c>
      <c r="C73">
        <v>1340.7356</v>
      </c>
      <c r="D73">
        <v>668.3854</v>
      </c>
      <c r="E73">
        <v>67240.625199999995</v>
      </c>
      <c r="F73">
        <v>1589.5635</v>
      </c>
      <c r="G73">
        <v>705.21339999999998</v>
      </c>
      <c r="H73">
        <v>67529.727100000004</v>
      </c>
      <c r="I73">
        <v>1509.1427000000001</v>
      </c>
      <c r="J73">
        <v>122.5205</v>
      </c>
      <c r="K73">
        <v>21008.813600000001</v>
      </c>
      <c r="L73">
        <v>1300</v>
      </c>
      <c r="M73">
        <v>220.05430000000001</v>
      </c>
      <c r="N73">
        <v>73783.917600000001</v>
      </c>
      <c r="O73" s="56">
        <f t="shared" si="2"/>
        <v>0.94777750961623819</v>
      </c>
      <c r="P73" s="56">
        <f t="shared" si="3"/>
        <v>0.99571889429418403</v>
      </c>
      <c r="Q73" s="56">
        <f t="shared" si="4"/>
        <v>0.31110467200451636</v>
      </c>
    </row>
    <row r="74" spans="1:18" ht="12.75" x14ac:dyDescent="0.2">
      <c r="A74" s="46" t="s">
        <v>77</v>
      </c>
      <c r="O74" s="56"/>
      <c r="P74" s="56"/>
      <c r="Q74" s="56"/>
      <c r="R74" t="s">
        <v>173</v>
      </c>
    </row>
    <row r="75" spans="1:18" ht="12.75" x14ac:dyDescent="0.2">
      <c r="A75" s="47" t="s">
        <v>78</v>
      </c>
      <c r="O75" s="56"/>
      <c r="P75" s="56"/>
      <c r="Q75" s="56"/>
      <c r="R75" t="s">
        <v>173</v>
      </c>
    </row>
    <row r="76" spans="1:18" ht="12.75" x14ac:dyDescent="0.2">
      <c r="A76" s="47" t="s">
        <v>79</v>
      </c>
      <c r="O76" s="56"/>
      <c r="P76" s="56"/>
      <c r="Q76" s="56"/>
      <c r="R76" t="s">
        <v>173</v>
      </c>
    </row>
    <row r="77" spans="1:18" ht="12.75" x14ac:dyDescent="0.2">
      <c r="A77" s="47" t="s">
        <v>80</v>
      </c>
      <c r="O77" s="56"/>
      <c r="P77" s="56"/>
      <c r="Q77" s="56"/>
      <c r="R77" t="s">
        <v>173</v>
      </c>
    </row>
    <row r="78" spans="1:18" ht="13.5" thickBot="1" x14ac:dyDescent="0.25">
      <c r="A78" s="48" t="s">
        <v>81</v>
      </c>
      <c r="O78" s="56"/>
      <c r="P78" s="56"/>
      <c r="Q78" s="56"/>
      <c r="R78" t="s">
        <v>173</v>
      </c>
    </row>
    <row r="79" spans="1:18" ht="12.75" x14ac:dyDescent="0.2">
      <c r="A79" s="46" t="s">
        <v>82</v>
      </c>
      <c r="B79">
        <v>0.99788557292620195</v>
      </c>
      <c r="C79">
        <v>1345.7698</v>
      </c>
      <c r="D79">
        <v>727.33209999999997</v>
      </c>
      <c r="E79">
        <v>115059.36259999999</v>
      </c>
      <c r="F79">
        <v>1583.1124</v>
      </c>
      <c r="G79">
        <v>461.06540000000001</v>
      </c>
      <c r="H79">
        <v>55229.809000000001</v>
      </c>
      <c r="I79">
        <v>1520.2683</v>
      </c>
      <c r="J79">
        <v>470.68119999999999</v>
      </c>
      <c r="K79">
        <v>77013.729699999996</v>
      </c>
      <c r="L79">
        <v>1206.1216999999999</v>
      </c>
      <c r="M79">
        <v>124.6113</v>
      </c>
      <c r="N79">
        <v>11812.300300000001</v>
      </c>
      <c r="O79" s="56">
        <f t="shared" ref="O79:P82" si="5">D79/G79</f>
        <v>1.5775031047656145</v>
      </c>
      <c r="P79" s="56">
        <f t="shared" si="5"/>
        <v>2.0832837317978048</v>
      </c>
      <c r="Q79" s="56">
        <f t="shared" si="4"/>
        <v>1.3944232488654813</v>
      </c>
      <c r="R79" s="12" t="s">
        <v>172</v>
      </c>
    </row>
    <row r="80" spans="1:18" ht="12.75" x14ac:dyDescent="0.2">
      <c r="A80" s="47" t="s">
        <v>83</v>
      </c>
      <c r="O80" s="56"/>
      <c r="P80" s="56"/>
      <c r="Q80" s="56"/>
      <c r="R80" s="12" t="s">
        <v>172</v>
      </c>
    </row>
    <row r="81" spans="1:18" ht="12.75" x14ac:dyDescent="0.2">
      <c r="A81" s="47" t="s">
        <v>84</v>
      </c>
      <c r="B81">
        <v>0.99524753739695104</v>
      </c>
      <c r="C81">
        <v>1338.6561999999999</v>
      </c>
      <c r="D81">
        <v>704.91780000000006</v>
      </c>
      <c r="E81">
        <v>94424.951700000005</v>
      </c>
      <c r="F81">
        <v>1584.5619999999999</v>
      </c>
      <c r="G81">
        <v>769.74390000000005</v>
      </c>
      <c r="H81">
        <v>70082.200800000006</v>
      </c>
      <c r="I81">
        <v>1504.9645</v>
      </c>
      <c r="J81">
        <v>257.43549999999999</v>
      </c>
      <c r="K81">
        <v>42890.190399999999</v>
      </c>
      <c r="L81">
        <v>1250</v>
      </c>
      <c r="M81">
        <v>145.66820000000001</v>
      </c>
      <c r="N81">
        <v>33337.531600000002</v>
      </c>
      <c r="O81" s="56">
        <f t="shared" si="5"/>
        <v>0.91578224913506945</v>
      </c>
      <c r="P81" s="56">
        <f t="shared" si="5"/>
        <v>1.3473456972258782</v>
      </c>
      <c r="Q81" s="56">
        <f t="shared" si="4"/>
        <v>0.61199833781475643</v>
      </c>
      <c r="R81" s="12" t="s">
        <v>172</v>
      </c>
    </row>
    <row r="82" spans="1:18" ht="12.75" x14ac:dyDescent="0.2">
      <c r="A82" s="47" t="s">
        <v>85</v>
      </c>
      <c r="B82">
        <v>0.997760596041804</v>
      </c>
      <c r="C82">
        <v>1340.9537</v>
      </c>
      <c r="D82">
        <v>681.4162</v>
      </c>
      <c r="E82">
        <v>107448.1951</v>
      </c>
      <c r="F82">
        <v>1587.7853</v>
      </c>
      <c r="G82">
        <v>436.1771</v>
      </c>
      <c r="H82">
        <v>50901.136100000003</v>
      </c>
      <c r="I82">
        <v>1522.9082000000001</v>
      </c>
      <c r="J82">
        <v>576.46690000000001</v>
      </c>
      <c r="K82">
        <v>104808.8535</v>
      </c>
      <c r="L82">
        <v>1190.7817</v>
      </c>
      <c r="M82">
        <v>132.63040000000001</v>
      </c>
      <c r="N82">
        <v>23594.038</v>
      </c>
      <c r="O82" s="56">
        <f t="shared" si="5"/>
        <v>1.5622466195497196</v>
      </c>
      <c r="P82" s="56">
        <f t="shared" si="5"/>
        <v>2.1109193886931727</v>
      </c>
      <c r="Q82" s="56">
        <f t="shared" si="4"/>
        <v>2.0590670765008721</v>
      </c>
      <c r="R82" s="12" t="s">
        <v>172</v>
      </c>
    </row>
    <row r="83" spans="1:18" ht="12.75" x14ac:dyDescent="0.2">
      <c r="A83" s="47" t="s">
        <v>86</v>
      </c>
      <c r="O83" s="56"/>
      <c r="P83" s="56"/>
      <c r="Q83" s="56"/>
      <c r="R83" t="s">
        <v>173</v>
      </c>
    </row>
    <row r="84" spans="1:18" ht="12.75" x14ac:dyDescent="0.2">
      <c r="A84" s="47" t="s">
        <v>87</v>
      </c>
      <c r="O84" s="56"/>
      <c r="P84" s="56"/>
      <c r="Q84" s="56"/>
      <c r="R84" t="s">
        <v>173</v>
      </c>
    </row>
    <row r="85" spans="1:18" ht="12.75" x14ac:dyDescent="0.2">
      <c r="A85" s="47" t="s">
        <v>88</v>
      </c>
      <c r="O85" s="56"/>
      <c r="P85" s="56"/>
      <c r="Q85" s="56"/>
      <c r="R85" t="s">
        <v>173</v>
      </c>
    </row>
    <row r="86" spans="1:18" ht="13.5" thickBot="1" x14ac:dyDescent="0.25">
      <c r="A86" s="48" t="s">
        <v>89</v>
      </c>
      <c r="O86" s="56"/>
      <c r="P86" s="56"/>
      <c r="Q86" s="56"/>
      <c r="R86" t="s">
        <v>173</v>
      </c>
    </row>
    <row r="87" spans="1:18" ht="12.6" customHeight="1" thickBot="1" x14ac:dyDescent="0.25">
      <c r="A87" s="51" t="s">
        <v>90</v>
      </c>
      <c r="B87">
        <v>0.99810807247289102</v>
      </c>
      <c r="C87">
        <v>1326.5952</v>
      </c>
      <c r="D87">
        <v>641.16949999999997</v>
      </c>
      <c r="E87">
        <v>79298.367499999993</v>
      </c>
      <c r="F87">
        <v>1592.1265000000001</v>
      </c>
      <c r="G87">
        <v>627.39480000000003</v>
      </c>
      <c r="H87">
        <v>62925.486900000004</v>
      </c>
      <c r="I87">
        <v>1488.7954999999999</v>
      </c>
      <c r="J87">
        <v>210.92</v>
      </c>
      <c r="K87">
        <v>41843.7935</v>
      </c>
      <c r="L87">
        <v>1250</v>
      </c>
      <c r="M87">
        <v>238.45849999999999</v>
      </c>
      <c r="N87">
        <v>65040.5311</v>
      </c>
      <c r="O87" s="56">
        <f t="shared" ref="O87:P87" si="6">D87/G87</f>
        <v>1.0219553939560861</v>
      </c>
      <c r="P87" s="56">
        <f t="shared" si="6"/>
        <v>1.2601947383580752</v>
      </c>
      <c r="Q87" s="56">
        <f t="shared" si="4"/>
        <v>0.66497369446655796</v>
      </c>
    </row>
    <row r="88" spans="1:18" ht="12.75" x14ac:dyDescent="0.2">
      <c r="A88" s="46" t="s">
        <v>92</v>
      </c>
      <c r="O88" s="56"/>
      <c r="P88" s="56"/>
      <c r="Q88" s="56"/>
      <c r="R88" t="s">
        <v>174</v>
      </c>
    </row>
    <row r="89" spans="1:18" ht="12.75" x14ac:dyDescent="0.2">
      <c r="A89" s="47" t="s">
        <v>94</v>
      </c>
      <c r="O89" s="56"/>
      <c r="P89" s="56"/>
      <c r="Q89" s="56"/>
      <c r="R89" t="s">
        <v>174</v>
      </c>
    </row>
    <row r="90" spans="1:18" ht="12.75" x14ac:dyDescent="0.2">
      <c r="A90" s="47" t="s">
        <v>95</v>
      </c>
      <c r="O90" s="56"/>
      <c r="P90" s="56"/>
      <c r="Q90" s="56"/>
      <c r="R90" t="s">
        <v>174</v>
      </c>
    </row>
    <row r="91" spans="1:18" ht="13.5" thickBot="1" x14ac:dyDescent="0.25">
      <c r="A91" s="48" t="s">
        <v>96</v>
      </c>
      <c r="O91" s="56"/>
      <c r="P91" s="56"/>
      <c r="Q91" s="56"/>
      <c r="R91" t="s">
        <v>174</v>
      </c>
    </row>
    <row r="92" spans="1:18" ht="12.75" x14ac:dyDescent="0.2">
      <c r="A92" s="46" t="s">
        <v>97</v>
      </c>
      <c r="B92">
        <v>0.99900326792807503</v>
      </c>
      <c r="C92" s="4">
        <v>1456.2097000000001</v>
      </c>
      <c r="D92" s="3">
        <v>828.95849999999996</v>
      </c>
      <c r="E92" s="3">
        <v>81037.490300000005</v>
      </c>
      <c r="F92" s="3">
        <v>1580.8994</v>
      </c>
      <c r="G92" s="3">
        <v>1013.8719</v>
      </c>
      <c r="H92" s="3">
        <v>88663.2114</v>
      </c>
      <c r="I92" s="3">
        <v>1535.9528</v>
      </c>
      <c r="J92" s="3">
        <v>390.42750000000001</v>
      </c>
      <c r="K92" s="3">
        <v>27322.817800000001</v>
      </c>
      <c r="L92" s="3">
        <v>1390.9547</v>
      </c>
      <c r="M92" s="3">
        <v>380.3716</v>
      </c>
      <c r="N92" s="3">
        <v>65777.469400000002</v>
      </c>
      <c r="O92" s="56">
        <f t="shared" ref="O92:O110" si="7">D92/G92</f>
        <v>0.81761660422781224</v>
      </c>
      <c r="P92" s="56">
        <f t="shared" ref="P92:P110" si="8">E92/H92</f>
        <v>0.91399227504182201</v>
      </c>
      <c r="Q92" s="56">
        <f t="shared" si="4"/>
        <v>0.30816408935081729</v>
      </c>
      <c r="R92" s="12" t="s">
        <v>172</v>
      </c>
    </row>
    <row r="93" spans="1:18" ht="12.75" x14ac:dyDescent="0.2">
      <c r="A93" s="47" t="s">
        <v>99</v>
      </c>
      <c r="B93" s="3">
        <v>0.99920299087059905</v>
      </c>
      <c r="C93" s="4">
        <v>1455.0863999999999</v>
      </c>
      <c r="D93" s="3">
        <v>1132.4797000000001</v>
      </c>
      <c r="E93" s="3">
        <v>105614.5678</v>
      </c>
      <c r="F93" s="3">
        <v>1580.5637999999999</v>
      </c>
      <c r="G93" s="3">
        <v>1475.4075</v>
      </c>
      <c r="H93" s="3">
        <v>113061.16039999999</v>
      </c>
      <c r="I93" s="3">
        <v>1537.7556999999999</v>
      </c>
      <c r="J93" s="3">
        <v>502.84960000000001</v>
      </c>
      <c r="K93" s="3">
        <v>31726.997500000001</v>
      </c>
      <c r="L93" s="3">
        <v>1400</v>
      </c>
      <c r="M93" s="3">
        <v>568.24549999999999</v>
      </c>
      <c r="N93" s="3">
        <v>117957.26880000001</v>
      </c>
      <c r="O93" s="56">
        <f t="shared" si="7"/>
        <v>0.76757078976486159</v>
      </c>
      <c r="P93" s="56">
        <f t="shared" si="8"/>
        <v>0.93413659851310005</v>
      </c>
      <c r="Q93" s="56">
        <f t="shared" si="4"/>
        <v>0.28061800699508832</v>
      </c>
      <c r="R93" s="12" t="s">
        <v>172</v>
      </c>
    </row>
    <row r="94" spans="1:18" ht="12.75" x14ac:dyDescent="0.2">
      <c r="A94" s="47" t="s">
        <v>100</v>
      </c>
      <c r="B94" s="3">
        <v>0.99925411227706895</v>
      </c>
      <c r="C94" s="4">
        <v>1453.3671999999999</v>
      </c>
      <c r="D94" s="3">
        <v>1390.5569</v>
      </c>
      <c r="E94" s="3">
        <v>119232.1847</v>
      </c>
      <c r="F94" s="3">
        <v>1579.9748999999999</v>
      </c>
      <c r="G94" s="3">
        <v>1819.2625</v>
      </c>
      <c r="H94" s="3">
        <v>131668.0814</v>
      </c>
      <c r="I94" s="3">
        <v>1533.9727</v>
      </c>
      <c r="J94" s="3">
        <v>611.98149999999998</v>
      </c>
      <c r="K94" s="3">
        <v>40734.233899999999</v>
      </c>
      <c r="L94" s="3">
        <v>1400</v>
      </c>
      <c r="M94" s="3">
        <v>631.52880000000005</v>
      </c>
      <c r="N94" s="3">
        <v>125325.0325</v>
      </c>
      <c r="O94" s="56">
        <f t="shared" si="7"/>
        <v>0.76435198328993204</v>
      </c>
      <c r="P94" s="56">
        <f t="shared" si="8"/>
        <v>0.9055511664803525</v>
      </c>
      <c r="Q94" s="56">
        <f t="shared" si="4"/>
        <v>0.30937060422602924</v>
      </c>
      <c r="R94" s="12" t="s">
        <v>172</v>
      </c>
    </row>
    <row r="95" spans="1:18" ht="12.75" x14ac:dyDescent="0.2">
      <c r="A95" s="47" t="s">
        <v>101</v>
      </c>
      <c r="B95" s="3">
        <v>0.999328156724963</v>
      </c>
      <c r="C95" s="4">
        <v>1451.5971999999999</v>
      </c>
      <c r="D95" s="3">
        <v>1469.6364000000001</v>
      </c>
      <c r="E95" s="3">
        <v>115905.4898</v>
      </c>
      <c r="F95" s="3">
        <v>1581.2422999999999</v>
      </c>
      <c r="G95" s="3">
        <v>1579.4766999999999</v>
      </c>
      <c r="H95" s="3">
        <v>100511.9451</v>
      </c>
      <c r="I95" s="3">
        <v>1542.6525999999999</v>
      </c>
      <c r="J95" s="3">
        <v>750.83370000000002</v>
      </c>
      <c r="K95" s="3">
        <v>70462.584799999997</v>
      </c>
      <c r="L95" s="3">
        <v>1400</v>
      </c>
      <c r="M95" s="3">
        <v>591.48910000000001</v>
      </c>
      <c r="N95" s="3">
        <v>98330.975600000005</v>
      </c>
      <c r="O95" s="56">
        <f t="shared" si="7"/>
        <v>0.93045779022887776</v>
      </c>
      <c r="P95" s="56">
        <f t="shared" si="8"/>
        <v>1.1531513959329398</v>
      </c>
      <c r="Q95" s="56">
        <f t="shared" si="4"/>
        <v>0.70103692381931626</v>
      </c>
      <c r="R95" s="12" t="s">
        <v>172</v>
      </c>
    </row>
    <row r="96" spans="1:18" ht="13.5" thickBot="1" x14ac:dyDescent="0.25">
      <c r="A96" s="48" t="s">
        <v>102</v>
      </c>
      <c r="B96" s="3">
        <v>0.99670073199789699</v>
      </c>
      <c r="C96" s="4">
        <v>1447.4001000000001</v>
      </c>
      <c r="D96" s="3">
        <v>479.85050000000001</v>
      </c>
      <c r="E96" s="3">
        <v>28751.917399999998</v>
      </c>
      <c r="F96" s="3">
        <v>1579.4359999999999</v>
      </c>
      <c r="G96" s="3">
        <v>743.22429999999997</v>
      </c>
      <c r="H96" s="3">
        <v>47298.094899999996</v>
      </c>
      <c r="I96" s="3">
        <v>1517.5898</v>
      </c>
      <c r="J96" s="3">
        <v>217.56469999999999</v>
      </c>
      <c r="K96" s="3">
        <v>22611.424299999999</v>
      </c>
      <c r="L96" s="3">
        <v>1400</v>
      </c>
      <c r="M96" s="3">
        <v>215.27760000000001</v>
      </c>
      <c r="N96" s="3">
        <v>38553.791899999997</v>
      </c>
      <c r="O96" s="56">
        <f t="shared" si="7"/>
        <v>0.64563349180052376</v>
      </c>
      <c r="P96" s="56">
        <f t="shared" si="8"/>
        <v>0.60788743100094711</v>
      </c>
      <c r="Q96" s="56">
        <f t="shared" si="4"/>
        <v>0.47806205192420975</v>
      </c>
      <c r="R96" s="12" t="s">
        <v>172</v>
      </c>
    </row>
    <row r="97" spans="1:18" ht="12.75" x14ac:dyDescent="0.2">
      <c r="A97" s="46" t="s">
        <v>103</v>
      </c>
      <c r="B97" s="3">
        <v>0.993745438365779</v>
      </c>
      <c r="C97" s="3">
        <v>1344.1175000000001</v>
      </c>
      <c r="D97" s="3">
        <v>787.46630000000005</v>
      </c>
      <c r="E97" s="3">
        <v>103197.8389</v>
      </c>
      <c r="F97" s="3">
        <v>1595.7856999999999</v>
      </c>
      <c r="G97" s="3">
        <v>748.87670000000003</v>
      </c>
      <c r="H97" s="3">
        <v>76124.962700000004</v>
      </c>
      <c r="I97" s="3">
        <v>1504.0983000000001</v>
      </c>
      <c r="J97" s="3">
        <v>322.53859999999997</v>
      </c>
      <c r="K97" s="3">
        <v>59438.256399999998</v>
      </c>
      <c r="L97" s="3">
        <v>1220</v>
      </c>
      <c r="M97" s="3">
        <v>205.89359999999999</v>
      </c>
      <c r="N97" s="3">
        <v>38786.711199999998</v>
      </c>
      <c r="O97" s="56">
        <f t="shared" si="7"/>
        <v>1.0515299781659651</v>
      </c>
      <c r="P97" s="56">
        <f t="shared" si="8"/>
        <v>1.3556373000364044</v>
      </c>
      <c r="Q97" s="56">
        <f t="shared" si="4"/>
        <v>0.78079849620734187</v>
      </c>
    </row>
    <row r="98" spans="1:18" ht="12.75" x14ac:dyDescent="0.2">
      <c r="A98" s="47" t="s">
        <v>104</v>
      </c>
      <c r="B98" s="3">
        <v>0.99448374449162702</v>
      </c>
      <c r="C98" s="3">
        <v>1348.2194</v>
      </c>
      <c r="D98" s="3">
        <v>818.70590000000004</v>
      </c>
      <c r="E98" s="3">
        <v>123869.5551</v>
      </c>
      <c r="F98" s="3">
        <v>1600.6156000000001</v>
      </c>
      <c r="G98" s="3">
        <v>664.97339999999997</v>
      </c>
      <c r="H98" s="3">
        <v>63260.287300000004</v>
      </c>
      <c r="I98" s="3">
        <v>1531.9548</v>
      </c>
      <c r="J98" s="3">
        <v>332.84640000000002</v>
      </c>
      <c r="K98" s="3">
        <v>55009.749799999998</v>
      </c>
      <c r="L98" s="3">
        <v>1201.5318</v>
      </c>
      <c r="M98" s="3">
        <v>148.7784</v>
      </c>
      <c r="N98" s="3">
        <v>25810.051500000001</v>
      </c>
      <c r="O98" s="56">
        <f t="shared" si="7"/>
        <v>1.23118593916689</v>
      </c>
      <c r="P98" s="56">
        <f t="shared" si="8"/>
        <v>1.9580934641123577</v>
      </c>
      <c r="Q98" s="56">
        <f t="shared" si="4"/>
        <v>0.86957793187259191</v>
      </c>
    </row>
    <row r="99" spans="1:18" ht="12.75" x14ac:dyDescent="0.2">
      <c r="A99" s="47" t="s">
        <v>105</v>
      </c>
      <c r="B99" s="3">
        <v>0.99082635957309295</v>
      </c>
      <c r="C99" s="3">
        <v>1346.7654</v>
      </c>
      <c r="D99" s="3">
        <v>722.40020000000004</v>
      </c>
      <c r="E99" s="3">
        <v>80077.2935</v>
      </c>
      <c r="F99" s="3">
        <v>1598.7207000000001</v>
      </c>
      <c r="G99" s="3">
        <v>681.48239999999998</v>
      </c>
      <c r="H99" s="3">
        <v>64031.276400000002</v>
      </c>
      <c r="I99" s="3">
        <v>1505.3411000000001</v>
      </c>
      <c r="J99" s="3">
        <v>205.30680000000001</v>
      </c>
      <c r="K99" s="3">
        <v>38093.032800000001</v>
      </c>
      <c r="L99" s="3">
        <v>1250</v>
      </c>
      <c r="M99" s="3">
        <v>150.16579999999999</v>
      </c>
      <c r="N99" s="3">
        <v>33575.722600000001</v>
      </c>
      <c r="O99" s="56">
        <f t="shared" si="7"/>
        <v>1.0600423429864074</v>
      </c>
      <c r="P99" s="56">
        <f t="shared" si="8"/>
        <v>1.2505965522186591</v>
      </c>
      <c r="Q99" s="56">
        <f t="shared" si="4"/>
        <v>0.59491290728041768</v>
      </c>
    </row>
    <row r="100" spans="1:18" ht="13.5" thickBot="1" x14ac:dyDescent="0.25">
      <c r="A100" s="48" t="s">
        <v>106</v>
      </c>
      <c r="B100" s="3">
        <v>0.98887310178826204</v>
      </c>
      <c r="C100" s="3">
        <v>1343.4341999999999</v>
      </c>
      <c r="D100" s="3">
        <v>823.62210000000005</v>
      </c>
      <c r="E100" s="3">
        <v>71781.414000000004</v>
      </c>
      <c r="F100" s="3">
        <v>1596.1514999999999</v>
      </c>
      <c r="G100" s="3">
        <v>741.34519999999998</v>
      </c>
      <c r="H100" s="3">
        <v>71026.481</v>
      </c>
      <c r="I100" s="3">
        <v>1450.0001</v>
      </c>
      <c r="J100" s="3">
        <v>144.7748</v>
      </c>
      <c r="K100" s="3">
        <v>34427.605499999998</v>
      </c>
      <c r="L100" s="3">
        <v>1250</v>
      </c>
      <c r="M100" s="3">
        <v>123.6861</v>
      </c>
      <c r="N100" s="3">
        <v>26527.9067</v>
      </c>
      <c r="O100" s="56">
        <f t="shared" si="7"/>
        <v>1.1109832504479695</v>
      </c>
      <c r="P100" s="56">
        <f t="shared" si="8"/>
        <v>1.0106288948765463</v>
      </c>
      <c r="Q100" s="56">
        <f t="shared" si="4"/>
        <v>0.48471506704661321</v>
      </c>
    </row>
    <row r="101" spans="1:18" ht="12.75" x14ac:dyDescent="0.2">
      <c r="A101" s="46" t="s">
        <v>107</v>
      </c>
      <c r="B101" s="3">
        <v>0.99688001315901897</v>
      </c>
      <c r="C101" s="3">
        <v>1345.2669000000001</v>
      </c>
      <c r="D101" s="3">
        <v>407.40719999999999</v>
      </c>
      <c r="E101" s="3">
        <v>71292.648700000005</v>
      </c>
      <c r="F101" s="3">
        <v>1595.3978</v>
      </c>
      <c r="G101" s="3">
        <v>298.48860000000002</v>
      </c>
      <c r="H101" s="3">
        <v>28446.880399999998</v>
      </c>
      <c r="I101" s="3">
        <v>1540.0527999999999</v>
      </c>
      <c r="J101" s="3">
        <v>206.88990000000001</v>
      </c>
      <c r="K101" s="3">
        <v>31267.353599999999</v>
      </c>
      <c r="L101" s="3">
        <v>1198.6144999999999</v>
      </c>
      <c r="M101" s="3">
        <v>26.532399999999999</v>
      </c>
      <c r="N101" s="3">
        <v>2507.3141999999998</v>
      </c>
      <c r="O101" s="56">
        <f t="shared" si="7"/>
        <v>1.3649003680542573</v>
      </c>
      <c r="P101" s="56">
        <f t="shared" si="8"/>
        <v>2.5061675550194957</v>
      </c>
      <c r="Q101" s="56">
        <f t="shared" si="4"/>
        <v>1.0991487699297953</v>
      </c>
    </row>
    <row r="102" spans="1:18" ht="13.5" thickBot="1" x14ac:dyDescent="0.25">
      <c r="A102" s="48" t="s">
        <v>108</v>
      </c>
      <c r="B102" s="3">
        <v>0.997278780076015</v>
      </c>
      <c r="C102" s="3">
        <v>1347.0044</v>
      </c>
      <c r="D102" s="3">
        <v>839.06410000000005</v>
      </c>
      <c r="E102" s="3">
        <v>144609.0637</v>
      </c>
      <c r="F102" s="3">
        <v>1590.5922</v>
      </c>
      <c r="G102" s="3">
        <v>618.02020000000005</v>
      </c>
      <c r="H102" s="3">
        <v>65470.3969</v>
      </c>
      <c r="I102" s="3">
        <v>1530.231</v>
      </c>
      <c r="J102" s="3">
        <v>427.56830000000002</v>
      </c>
      <c r="K102" s="3">
        <v>72570.253200000006</v>
      </c>
      <c r="L102" s="3">
        <v>1204.0074</v>
      </c>
      <c r="M102" s="3">
        <v>72.206100000000006</v>
      </c>
      <c r="N102" s="3">
        <v>6824.9593999999997</v>
      </c>
      <c r="O102" s="56">
        <f t="shared" si="7"/>
        <v>1.3576645229395414</v>
      </c>
      <c r="P102" s="56">
        <f t="shared" si="8"/>
        <v>2.2087702312371347</v>
      </c>
      <c r="Q102" s="56">
        <f t="shared" si="4"/>
        <v>1.1084437644519611</v>
      </c>
    </row>
    <row r="103" spans="1:18" ht="12.75" x14ac:dyDescent="0.2">
      <c r="A103" s="46" t="s">
        <v>109</v>
      </c>
      <c r="B103" s="3">
        <v>0.99424647532268595</v>
      </c>
      <c r="C103" s="3">
        <v>1336.2376999999999</v>
      </c>
      <c r="D103" s="3">
        <v>812.27520000000004</v>
      </c>
      <c r="E103" s="3">
        <v>151940.47949999999</v>
      </c>
      <c r="F103" s="3">
        <v>1619.7710999999999</v>
      </c>
      <c r="G103" s="3">
        <v>912.03390000000002</v>
      </c>
      <c r="H103" s="3">
        <v>98167.940300000002</v>
      </c>
      <c r="I103" s="3">
        <v>1549.9999</v>
      </c>
      <c r="J103" s="3">
        <v>324.4846</v>
      </c>
      <c r="K103" s="3">
        <v>57483.7209</v>
      </c>
      <c r="L103" s="3">
        <v>1202.7421999999999</v>
      </c>
      <c r="M103" s="3">
        <v>43.050400000000003</v>
      </c>
      <c r="N103" s="3">
        <v>2754.4108000000001</v>
      </c>
      <c r="O103" s="56">
        <f t="shared" si="7"/>
        <v>0.89061952631366004</v>
      </c>
      <c r="P103" s="56">
        <f t="shared" si="8"/>
        <v>1.5477606949445184</v>
      </c>
      <c r="Q103" s="56">
        <f t="shared" si="4"/>
        <v>0.58556511142365286</v>
      </c>
    </row>
    <row r="104" spans="1:18" ht="12.75" x14ac:dyDescent="0.2">
      <c r="A104" s="47" t="s">
        <v>110</v>
      </c>
      <c r="B104" s="3">
        <v>0.99160035477555097</v>
      </c>
      <c r="C104" s="3">
        <v>1331.7629999999999</v>
      </c>
      <c r="D104" s="3">
        <v>749.90899999999999</v>
      </c>
      <c r="E104" s="3">
        <v>134244.09640000001</v>
      </c>
      <c r="F104" s="3">
        <v>1623.2511</v>
      </c>
      <c r="G104" s="3">
        <v>737.67409999999995</v>
      </c>
      <c r="H104" s="3">
        <v>76234.438099999999</v>
      </c>
      <c r="I104" s="3">
        <v>1541.8387</v>
      </c>
      <c r="J104" s="3">
        <v>285.55200000000002</v>
      </c>
      <c r="K104" s="3">
        <v>52614.718399999998</v>
      </c>
      <c r="L104" s="3">
        <v>1199.5554999999999</v>
      </c>
      <c r="M104" s="3">
        <v>18.149000000000001</v>
      </c>
      <c r="N104" s="3">
        <v>216.39580000000001</v>
      </c>
      <c r="O104" s="56">
        <f t="shared" si="7"/>
        <v>1.0165857795468216</v>
      </c>
      <c r="P104" s="56">
        <f t="shared" si="8"/>
        <v>1.7609377040846848</v>
      </c>
      <c r="Q104" s="56">
        <f t="shared" si="4"/>
        <v>0.69016995089519784</v>
      </c>
    </row>
    <row r="105" spans="1:18" ht="12.75" x14ac:dyDescent="0.2">
      <c r="A105" s="47" t="s">
        <v>111</v>
      </c>
      <c r="B105" s="3">
        <v>0.99003167718745999</v>
      </c>
      <c r="C105" s="3">
        <v>1334.5060000000001</v>
      </c>
      <c r="D105" s="3">
        <v>696.42219999999998</v>
      </c>
      <c r="E105" s="3">
        <v>119213.0607</v>
      </c>
      <c r="F105" s="3">
        <v>1623.5206000000001</v>
      </c>
      <c r="G105" s="3">
        <v>629.04269999999997</v>
      </c>
      <c r="H105" s="3">
        <v>65522.901599999997</v>
      </c>
      <c r="I105" s="3">
        <v>1540.0443</v>
      </c>
      <c r="J105" s="3">
        <v>272.87040000000002</v>
      </c>
      <c r="K105" s="3">
        <v>51124.097500000003</v>
      </c>
      <c r="L105" s="3">
        <v>1179.7537</v>
      </c>
      <c r="M105" s="3">
        <v>20.249700000000001</v>
      </c>
      <c r="N105" s="3">
        <v>1341.5667000000001</v>
      </c>
      <c r="O105" s="56">
        <f t="shared" si="7"/>
        <v>1.1071143501069165</v>
      </c>
      <c r="P105" s="56">
        <f t="shared" si="8"/>
        <v>1.8194105845275936</v>
      </c>
      <c r="Q105" s="56">
        <f t="shared" si="4"/>
        <v>0.78024776454649569</v>
      </c>
    </row>
    <row r="106" spans="1:18" ht="12.75" x14ac:dyDescent="0.2">
      <c r="A106" s="47" t="s">
        <v>112</v>
      </c>
      <c r="B106" s="3">
        <v>0.98995494866343903</v>
      </c>
      <c r="C106" s="3">
        <v>1322.9712</v>
      </c>
      <c r="D106" s="3">
        <v>844.2047</v>
      </c>
      <c r="E106" s="3">
        <v>121871.0629</v>
      </c>
      <c r="F106" s="3">
        <v>1611.6262999999999</v>
      </c>
      <c r="G106" s="3">
        <v>747.33079999999995</v>
      </c>
      <c r="H106" s="3">
        <v>80593.9951</v>
      </c>
      <c r="I106" s="3">
        <v>1514.4382000000001</v>
      </c>
      <c r="J106" s="3">
        <v>212.50059999999999</v>
      </c>
      <c r="K106" s="3">
        <v>42680.344499999999</v>
      </c>
      <c r="L106" s="3">
        <v>1200.6170999999999</v>
      </c>
      <c r="M106" s="3">
        <v>63.601799999999997</v>
      </c>
      <c r="N106" s="3">
        <v>5020.3585999999996</v>
      </c>
      <c r="O106" s="56">
        <f t="shared" si="7"/>
        <v>1.1296265321862822</v>
      </c>
      <c r="P106" s="56">
        <f t="shared" si="8"/>
        <v>1.5121605865149623</v>
      </c>
      <c r="Q106" s="56">
        <f t="shared" si="4"/>
        <v>0.52957226462148665</v>
      </c>
    </row>
    <row r="107" spans="1:18" ht="12.75" x14ac:dyDescent="0.2">
      <c r="A107" s="47" t="s">
        <v>113</v>
      </c>
      <c r="B107" s="3">
        <v>0.98852178957605796</v>
      </c>
      <c r="C107" s="3">
        <v>1324.0777</v>
      </c>
      <c r="D107" s="3">
        <v>872.61400000000003</v>
      </c>
      <c r="E107" s="3">
        <v>103939.8109</v>
      </c>
      <c r="F107" s="3">
        <v>1615.9362000000001</v>
      </c>
      <c r="G107" s="3">
        <v>822.11569999999995</v>
      </c>
      <c r="H107" s="3">
        <v>87572.785499999998</v>
      </c>
      <c r="I107" s="3">
        <v>1472.3823</v>
      </c>
      <c r="J107" s="3">
        <v>203.12260000000001</v>
      </c>
      <c r="K107" s="3">
        <v>48266.490700000002</v>
      </c>
      <c r="L107" s="3">
        <v>1212.8604</v>
      </c>
      <c r="M107" s="3">
        <v>109.7128</v>
      </c>
      <c r="N107" s="3">
        <v>9601.0779999999995</v>
      </c>
      <c r="O107" s="56">
        <f t="shared" si="7"/>
        <v>1.0614248091844007</v>
      </c>
      <c r="P107" s="56">
        <f t="shared" si="8"/>
        <v>1.1868962521467357</v>
      </c>
      <c r="Q107" s="56">
        <f t="shared" si="4"/>
        <v>0.55115856398104413</v>
      </c>
    </row>
    <row r="108" spans="1:18" ht="12.75" x14ac:dyDescent="0.2">
      <c r="A108" s="47" t="s">
        <v>114</v>
      </c>
      <c r="B108" s="3">
        <v>0.98652437867825704</v>
      </c>
      <c r="C108" s="3">
        <v>1327.5626999999999</v>
      </c>
      <c r="D108" s="3">
        <v>772.23440000000005</v>
      </c>
      <c r="E108" s="3">
        <v>88958.736999999994</v>
      </c>
      <c r="F108" s="3">
        <v>1620.7071000000001</v>
      </c>
      <c r="G108" s="3">
        <v>699.09059999999999</v>
      </c>
      <c r="H108" s="3">
        <v>73298.798699999999</v>
      </c>
      <c r="I108" s="3">
        <v>1451.0418</v>
      </c>
      <c r="J108" s="3">
        <v>156.95910000000001</v>
      </c>
      <c r="K108" s="3">
        <v>40053.729299999999</v>
      </c>
      <c r="L108" s="3">
        <v>1221.8502000000001</v>
      </c>
      <c r="M108" s="3">
        <v>67.822699999999998</v>
      </c>
      <c r="N108" s="3">
        <v>5677.8010999999997</v>
      </c>
      <c r="O108" s="56">
        <f t="shared" si="7"/>
        <v>1.104627068365674</v>
      </c>
      <c r="P108" s="56">
        <f t="shared" si="8"/>
        <v>1.213645224447587</v>
      </c>
      <c r="Q108" s="56">
        <f t="shared" si="4"/>
        <v>0.54644455312198725</v>
      </c>
    </row>
    <row r="109" spans="1:18" ht="12.75" x14ac:dyDescent="0.2">
      <c r="A109" s="47" t="s">
        <v>115</v>
      </c>
      <c r="B109" s="3">
        <v>0.99080183936161803</v>
      </c>
      <c r="C109" s="3">
        <v>1320.4217000000001</v>
      </c>
      <c r="D109" s="3">
        <v>960.02189999999996</v>
      </c>
      <c r="E109" s="3">
        <v>90208.617700000003</v>
      </c>
      <c r="F109" s="3">
        <v>1609.2517</v>
      </c>
      <c r="G109" s="3">
        <v>674.82820000000004</v>
      </c>
      <c r="H109" s="3">
        <v>69592.997700000007</v>
      </c>
      <c r="I109" s="3">
        <v>1450</v>
      </c>
      <c r="J109" s="3">
        <v>100.7295</v>
      </c>
      <c r="K109" s="3">
        <v>22544.183199999999</v>
      </c>
      <c r="L109" s="3">
        <v>1224.0160000000001</v>
      </c>
      <c r="M109" s="3">
        <v>96.745699999999999</v>
      </c>
      <c r="N109" s="3">
        <v>7733.1588000000002</v>
      </c>
      <c r="O109" s="56">
        <f t="shared" si="7"/>
        <v>1.4226167489740351</v>
      </c>
      <c r="P109" s="56">
        <f t="shared" si="8"/>
        <v>1.2962312399426932</v>
      </c>
      <c r="Q109" s="56">
        <f t="shared" si="4"/>
        <v>0.32394326936717077</v>
      </c>
    </row>
    <row r="110" spans="1:18" ht="13.5" thickBot="1" x14ac:dyDescent="0.25">
      <c r="A110" s="48" t="s">
        <v>116</v>
      </c>
      <c r="B110" s="3">
        <v>0.98849858810994395</v>
      </c>
      <c r="C110" s="3">
        <v>1322.7907</v>
      </c>
      <c r="D110" s="3">
        <v>1014.5837</v>
      </c>
      <c r="E110" s="3">
        <v>86879.905700000003</v>
      </c>
      <c r="F110" s="3">
        <v>1608.8567</v>
      </c>
      <c r="G110" s="3">
        <v>663.91859999999997</v>
      </c>
      <c r="H110" s="3">
        <v>68219.584000000003</v>
      </c>
      <c r="I110" s="3">
        <v>1450</v>
      </c>
      <c r="J110" s="3">
        <v>77.141999999999996</v>
      </c>
      <c r="K110" s="3">
        <v>12620.4637</v>
      </c>
      <c r="L110" s="3">
        <v>1231.8161</v>
      </c>
      <c r="M110" s="3">
        <v>89.438500000000005</v>
      </c>
      <c r="N110" s="3">
        <v>6211.8478999999998</v>
      </c>
      <c r="O110" s="56">
        <f t="shared" si="7"/>
        <v>1.5281748395059276</v>
      </c>
      <c r="P110" s="56">
        <f t="shared" si="8"/>
        <v>1.2735332085871411</v>
      </c>
      <c r="Q110" s="56">
        <f t="shared" si="4"/>
        <v>0.18499766430707054</v>
      </c>
    </row>
    <row r="111" spans="1:18" ht="12.75" x14ac:dyDescent="0.2">
      <c r="A111" s="46" t="s">
        <v>117</v>
      </c>
      <c r="O111" s="56"/>
      <c r="P111" s="56"/>
      <c r="Q111" s="56"/>
      <c r="R111" s="89" t="s">
        <v>175</v>
      </c>
    </row>
    <row r="112" spans="1:18" ht="12.75" x14ac:dyDescent="0.2">
      <c r="A112" s="47" t="s">
        <v>118</v>
      </c>
      <c r="O112" s="56"/>
      <c r="P112" s="56"/>
      <c r="Q112" s="56"/>
      <c r="R112" s="89"/>
    </row>
    <row r="113" spans="1:18" ht="12.75" x14ac:dyDescent="0.2">
      <c r="A113" s="47" t="s">
        <v>119</v>
      </c>
      <c r="O113" s="56"/>
      <c r="P113" s="56"/>
      <c r="Q113" s="56"/>
      <c r="R113" s="89"/>
    </row>
    <row r="114" spans="1:18" ht="12.75" x14ac:dyDescent="0.2">
      <c r="A114" s="47" t="s">
        <v>120</v>
      </c>
      <c r="O114" s="56"/>
      <c r="P114" s="56"/>
      <c r="Q114" s="56"/>
      <c r="R114" s="89"/>
    </row>
    <row r="115" spans="1:18" ht="12.75" x14ac:dyDescent="0.2">
      <c r="A115" s="47" t="s">
        <v>121</v>
      </c>
      <c r="O115" s="56"/>
      <c r="P115" s="56"/>
      <c r="Q115" s="56"/>
      <c r="R115" s="89"/>
    </row>
    <row r="116" spans="1:18" ht="12.75" x14ac:dyDescent="0.2">
      <c r="A116" s="47" t="s">
        <v>122</v>
      </c>
      <c r="O116" s="56"/>
      <c r="P116" s="56"/>
      <c r="Q116" s="56"/>
      <c r="R116" s="89"/>
    </row>
    <row r="117" spans="1:18" ht="12.75" x14ac:dyDescent="0.2">
      <c r="A117" s="47" t="s">
        <v>123</v>
      </c>
      <c r="O117" s="56"/>
      <c r="P117" s="56"/>
      <c r="Q117" s="56"/>
      <c r="R117" s="89"/>
    </row>
    <row r="118" spans="1:18" ht="12.75" x14ac:dyDescent="0.2">
      <c r="A118" s="47" t="s">
        <v>124</v>
      </c>
      <c r="O118" s="56"/>
      <c r="P118" s="56"/>
      <c r="Q118" s="56"/>
      <c r="R118" s="89"/>
    </row>
    <row r="119" spans="1:18" ht="12.75" x14ac:dyDescent="0.2">
      <c r="A119" s="47" t="s">
        <v>125</v>
      </c>
      <c r="O119" s="56"/>
      <c r="P119" s="56"/>
      <c r="Q119" s="56"/>
      <c r="R119" s="89"/>
    </row>
    <row r="120" spans="1:18" ht="12.75" x14ac:dyDescent="0.2">
      <c r="A120" s="47" t="s">
        <v>126</v>
      </c>
      <c r="O120" s="56"/>
      <c r="P120" s="56"/>
      <c r="Q120" s="56"/>
      <c r="R120" s="89"/>
    </row>
    <row r="121" spans="1:18" ht="12.75" x14ac:dyDescent="0.2">
      <c r="A121" s="47" t="s">
        <v>127</v>
      </c>
      <c r="O121" s="56"/>
      <c r="P121" s="56"/>
      <c r="Q121" s="56"/>
      <c r="R121" s="89"/>
    </row>
    <row r="122" spans="1:18" ht="12.75" x14ac:dyDescent="0.2">
      <c r="A122" s="47" t="s">
        <v>128</v>
      </c>
      <c r="O122" s="56"/>
      <c r="P122" s="56"/>
      <c r="Q122" s="56"/>
      <c r="R122" s="89"/>
    </row>
    <row r="123" spans="1:18" ht="12.75" x14ac:dyDescent="0.2">
      <c r="A123" s="47" t="s">
        <v>129</v>
      </c>
      <c r="O123" s="56"/>
      <c r="P123" s="56"/>
      <c r="Q123" s="56"/>
      <c r="R123" s="89"/>
    </row>
    <row r="124" spans="1:18" ht="12.75" x14ac:dyDescent="0.2">
      <c r="A124" s="47" t="s">
        <v>130</v>
      </c>
      <c r="O124" s="56"/>
      <c r="P124" s="56"/>
      <c r="Q124" s="56"/>
      <c r="R124" s="89"/>
    </row>
    <row r="125" spans="1:18" ht="12.75" x14ac:dyDescent="0.2">
      <c r="A125" s="52" t="s">
        <v>153</v>
      </c>
      <c r="B125">
        <v>0.998214540400712</v>
      </c>
      <c r="C125">
        <v>1352.1486</v>
      </c>
      <c r="D125">
        <v>828.59749999999997</v>
      </c>
      <c r="E125">
        <v>176532.8904</v>
      </c>
      <c r="F125">
        <v>1601.5775000000001</v>
      </c>
      <c r="G125">
        <v>594.83150000000001</v>
      </c>
      <c r="H125">
        <v>62753.614200000004</v>
      </c>
      <c r="I125">
        <v>1552.9806000000001</v>
      </c>
      <c r="J125">
        <v>453.84530000000001</v>
      </c>
      <c r="K125">
        <v>68903.6639</v>
      </c>
      <c r="L125">
        <v>1164.0165</v>
      </c>
      <c r="M125">
        <v>151.48820000000001</v>
      </c>
      <c r="N125">
        <v>24488.640899999999</v>
      </c>
      <c r="O125" s="56">
        <f t="shared" ref="O125:O133" si="9">D125/G125</f>
        <v>1.3929953272481366</v>
      </c>
      <c r="P125" s="56">
        <f t="shared" ref="P125:P133" si="10">E125/H125</f>
        <v>2.8131111275500049</v>
      </c>
      <c r="Q125" s="56">
        <f t="shared" si="4"/>
        <v>1.0980031154922707</v>
      </c>
    </row>
    <row r="126" spans="1:18" ht="12.75" x14ac:dyDescent="0.2">
      <c r="A126" s="53" t="s">
        <v>154</v>
      </c>
      <c r="B126">
        <v>0.997801357905305</v>
      </c>
      <c r="C126">
        <v>1357.9979000000001</v>
      </c>
      <c r="D126">
        <v>612.76300000000003</v>
      </c>
      <c r="E126">
        <v>94969.931100000002</v>
      </c>
      <c r="F126">
        <v>1600.3958</v>
      </c>
      <c r="G126">
        <v>620.54989999999998</v>
      </c>
      <c r="H126">
        <v>63071.345399999998</v>
      </c>
      <c r="I126">
        <v>1530.9019000000001</v>
      </c>
      <c r="J126">
        <v>363.43509999999998</v>
      </c>
      <c r="K126">
        <v>59925.912700000001</v>
      </c>
      <c r="L126">
        <v>1250</v>
      </c>
      <c r="M126">
        <v>209.7329</v>
      </c>
      <c r="N126">
        <v>59639.616499999996</v>
      </c>
      <c r="O126" s="56">
        <f t="shared" si="9"/>
        <v>0.98745161348023758</v>
      </c>
      <c r="P126" s="56">
        <f t="shared" si="10"/>
        <v>1.5057540075877309</v>
      </c>
      <c r="Q126" s="56">
        <f t="shared" si="4"/>
        <v>0.95012897409986119</v>
      </c>
    </row>
    <row r="127" spans="1:18" ht="12.75" x14ac:dyDescent="0.2">
      <c r="A127" s="53" t="s">
        <v>155</v>
      </c>
      <c r="B127">
        <v>0.99594973091113403</v>
      </c>
      <c r="C127">
        <v>1354.3226</v>
      </c>
      <c r="D127">
        <v>629.62480000000005</v>
      </c>
      <c r="E127">
        <v>86312.872799999997</v>
      </c>
      <c r="F127">
        <v>1599.3406</v>
      </c>
      <c r="G127">
        <v>630.78800000000001</v>
      </c>
      <c r="H127">
        <v>63946.780700000003</v>
      </c>
      <c r="I127">
        <v>1527.4043999999999</v>
      </c>
      <c r="J127">
        <v>311.56150000000002</v>
      </c>
      <c r="K127">
        <v>52536.765700000004</v>
      </c>
      <c r="L127">
        <v>1250</v>
      </c>
      <c r="M127">
        <v>178.0496</v>
      </c>
      <c r="N127">
        <v>50677.188199999997</v>
      </c>
      <c r="O127" s="56">
        <f t="shared" si="9"/>
        <v>0.99815595731053863</v>
      </c>
      <c r="P127" s="56">
        <f t="shared" si="10"/>
        <v>1.3497610333963221</v>
      </c>
      <c r="Q127" s="56">
        <f t="shared" si="4"/>
        <v>0.82157014199778167</v>
      </c>
    </row>
    <row r="128" spans="1:18" ht="12.75" x14ac:dyDescent="0.2">
      <c r="A128" s="54" t="s">
        <v>156</v>
      </c>
      <c r="B128">
        <v>0.99516922456550005</v>
      </c>
      <c r="C128">
        <v>1349.5851</v>
      </c>
      <c r="D128">
        <v>838.34780000000001</v>
      </c>
      <c r="E128">
        <v>97130.863299999997</v>
      </c>
      <c r="F128">
        <v>1598.7570000000001</v>
      </c>
      <c r="G128">
        <v>820.23789999999997</v>
      </c>
      <c r="H128">
        <v>80933.706099999996</v>
      </c>
      <c r="I128">
        <v>1518.3210999999999</v>
      </c>
      <c r="J128">
        <v>287.32799999999997</v>
      </c>
      <c r="K128">
        <v>50377.832799999996</v>
      </c>
      <c r="L128">
        <v>1250</v>
      </c>
      <c r="M128">
        <v>191.898</v>
      </c>
      <c r="N128">
        <v>50807.690799999997</v>
      </c>
      <c r="O128" s="56">
        <f t="shared" si="9"/>
        <v>1.0220788383467772</v>
      </c>
      <c r="P128" s="56">
        <f t="shared" si="10"/>
        <v>1.2001286976774193</v>
      </c>
      <c r="Q128" s="56">
        <f t="shared" si="4"/>
        <v>0.62245799960963355</v>
      </c>
    </row>
    <row r="129" spans="1:18" ht="12.75" x14ac:dyDescent="0.2">
      <c r="A129" s="55" t="s">
        <v>160</v>
      </c>
      <c r="O129" s="56"/>
      <c r="P129" s="56"/>
      <c r="Q129" s="56"/>
      <c r="R129" t="s">
        <v>174</v>
      </c>
    </row>
    <row r="130" spans="1:18" ht="12.75" x14ac:dyDescent="0.2">
      <c r="A130" s="54" t="s">
        <v>159</v>
      </c>
      <c r="B130" s="3">
        <v>0.99659618702751995</v>
      </c>
      <c r="C130" s="3">
        <v>1364.5482</v>
      </c>
      <c r="D130" s="3">
        <v>616.60889999999995</v>
      </c>
      <c r="E130" s="3">
        <v>145703.3849</v>
      </c>
      <c r="F130" s="3">
        <v>1598.4960000000001</v>
      </c>
      <c r="G130" s="3">
        <v>508.23649999999998</v>
      </c>
      <c r="H130" s="3">
        <v>63195.106899999999</v>
      </c>
      <c r="I130" s="3">
        <v>1550</v>
      </c>
      <c r="J130" s="3">
        <v>324.28449999999998</v>
      </c>
      <c r="K130" s="3">
        <v>47104.051200000002</v>
      </c>
      <c r="L130" s="3">
        <v>1150</v>
      </c>
      <c r="M130" s="3">
        <v>103.23439999999999</v>
      </c>
      <c r="N130" s="3">
        <v>16738.403600000001</v>
      </c>
      <c r="O130" s="56">
        <f t="shared" si="9"/>
        <v>1.2132322255485388</v>
      </c>
      <c r="P130" s="56">
        <f t="shared" si="10"/>
        <v>2.3056118115372635</v>
      </c>
      <c r="Q130" s="56">
        <f t="shared" si="4"/>
        <v>0.74537497459316748</v>
      </c>
      <c r="R130" s="11" t="s">
        <v>172</v>
      </c>
    </row>
    <row r="131" spans="1:18" ht="12.75" x14ac:dyDescent="0.2">
      <c r="A131" s="31" t="s">
        <v>177</v>
      </c>
      <c r="B131" s="3">
        <v>0.99615799940693806</v>
      </c>
      <c r="C131" s="3">
        <v>1337.8986</v>
      </c>
      <c r="D131" s="3">
        <v>730.45960000000002</v>
      </c>
      <c r="E131" s="3">
        <v>77323.287599999996</v>
      </c>
      <c r="F131" s="3">
        <v>1584.0752</v>
      </c>
      <c r="G131" s="3">
        <v>727.3614</v>
      </c>
      <c r="H131" s="3">
        <v>75881.787400000001</v>
      </c>
      <c r="I131" s="3">
        <v>1477.5563</v>
      </c>
      <c r="J131" s="3">
        <v>205.523</v>
      </c>
      <c r="K131" s="3">
        <v>41336.699099999998</v>
      </c>
      <c r="L131" s="3">
        <v>1249.9999</v>
      </c>
      <c r="M131" s="3">
        <v>142.51179999999999</v>
      </c>
      <c r="N131" s="3">
        <v>25336.4002</v>
      </c>
      <c r="O131" s="56">
        <f t="shared" si="9"/>
        <v>1.0042595056597725</v>
      </c>
      <c r="P131" s="56">
        <f t="shared" si="10"/>
        <v>1.0189966558431385</v>
      </c>
      <c r="Q131" s="56">
        <f t="shared" si="4"/>
        <v>0.5447512574011929</v>
      </c>
    </row>
    <row r="132" spans="1:18" ht="12.75" x14ac:dyDescent="0.2">
      <c r="A132" s="32" t="s">
        <v>176</v>
      </c>
      <c r="B132" s="3">
        <v>0.99122419755456803</v>
      </c>
      <c r="C132" s="3">
        <v>1340.6813</v>
      </c>
      <c r="D132" s="3">
        <v>835.85760000000005</v>
      </c>
      <c r="E132" s="3">
        <v>77882.390499999994</v>
      </c>
      <c r="F132" s="3">
        <v>1592.8415</v>
      </c>
      <c r="G132" s="3">
        <v>789.81880000000001</v>
      </c>
      <c r="H132" s="3">
        <v>79846.132100000003</v>
      </c>
      <c r="I132" s="3">
        <v>1458.3214</v>
      </c>
      <c r="J132" s="3">
        <v>160.68270000000001</v>
      </c>
      <c r="K132" s="3">
        <v>35909.140899999999</v>
      </c>
      <c r="L132" s="3">
        <v>1250</v>
      </c>
      <c r="M132" s="3">
        <v>120.8245</v>
      </c>
      <c r="N132" s="3">
        <v>21638.525399999999</v>
      </c>
      <c r="O132" s="56">
        <f t="shared" si="9"/>
        <v>1.0582903319090404</v>
      </c>
      <c r="P132" s="56">
        <f t="shared" si="10"/>
        <v>0.97540592702047735</v>
      </c>
      <c r="Q132" s="56">
        <f t="shared" si="4"/>
        <v>0.44972924743589421</v>
      </c>
    </row>
    <row r="133" spans="1:18" ht="12.75" x14ac:dyDescent="0.2">
      <c r="A133" s="33" t="s">
        <v>178</v>
      </c>
      <c r="B133" s="3">
        <v>0.98832629007029804</v>
      </c>
      <c r="C133" s="3">
        <v>1337.9631999999999</v>
      </c>
      <c r="D133" s="3">
        <v>1391.2945</v>
      </c>
      <c r="E133" s="3">
        <v>117180.72870000001</v>
      </c>
      <c r="F133" s="3">
        <v>1592.4526000000001</v>
      </c>
      <c r="G133" s="3">
        <v>1213.3336999999999</v>
      </c>
      <c r="H133" s="3">
        <v>116755.34570000001</v>
      </c>
      <c r="I133" s="3">
        <v>1450</v>
      </c>
      <c r="J133" s="3">
        <v>182.79599999999999</v>
      </c>
      <c r="K133" s="3">
        <v>40088.402800000003</v>
      </c>
      <c r="L133" s="3">
        <v>1250</v>
      </c>
      <c r="M133" s="3">
        <v>154.29660000000001</v>
      </c>
      <c r="N133" s="3">
        <v>31393.213400000001</v>
      </c>
      <c r="O133" s="56">
        <f t="shared" si="9"/>
        <v>1.146670944687352</v>
      </c>
      <c r="P133" s="56">
        <f t="shared" si="10"/>
        <v>1.0036433706521071</v>
      </c>
      <c r="Q133" s="56">
        <f t="shared" ref="Q133" si="11">K133/H133</f>
        <v>0.3433538957865464</v>
      </c>
    </row>
    <row r="134" spans="1:18" ht="12.75" x14ac:dyDescent="0.2">
      <c r="A134" s="7"/>
      <c r="O134" s="56"/>
      <c r="P134" s="56"/>
      <c r="Q134" s="56"/>
    </row>
    <row r="135" spans="1:18" ht="12.75" x14ac:dyDescent="0.2">
      <c r="A135" s="7"/>
      <c r="O135" s="56"/>
      <c r="P135" s="56"/>
      <c r="Q135" s="56"/>
    </row>
    <row r="136" spans="1:18" ht="12.75" x14ac:dyDescent="0.2">
      <c r="A136" s="7"/>
      <c r="O136" s="56"/>
      <c r="P136" s="56"/>
      <c r="Q136" s="56"/>
    </row>
    <row r="137" spans="1:18" ht="12.75" x14ac:dyDescent="0.2">
      <c r="A137" s="7"/>
      <c r="O137" s="56"/>
      <c r="P137" s="56"/>
      <c r="Q137" s="56"/>
    </row>
    <row r="138" spans="1:18" ht="12.75" x14ac:dyDescent="0.2">
      <c r="A138" s="7"/>
      <c r="O138" s="56"/>
      <c r="P138" s="56"/>
      <c r="Q138" s="56"/>
    </row>
    <row r="139" spans="1:18" ht="12.75" x14ac:dyDescent="0.2">
      <c r="A139" s="7"/>
      <c r="O139" s="56"/>
      <c r="P139" s="56"/>
      <c r="Q139" s="56"/>
    </row>
    <row r="140" spans="1:18" ht="12.75" x14ac:dyDescent="0.2">
      <c r="A140" s="7"/>
      <c r="O140" s="56"/>
      <c r="P140" s="56"/>
      <c r="Q140" s="56"/>
    </row>
    <row r="141" spans="1:18" ht="12.75" x14ac:dyDescent="0.2">
      <c r="A141" s="7"/>
      <c r="O141" s="56"/>
      <c r="P141" s="56"/>
      <c r="Q141" s="56"/>
    </row>
    <row r="142" spans="1:18" ht="12.75" x14ac:dyDescent="0.2">
      <c r="A142" s="7"/>
      <c r="O142" s="56"/>
      <c r="P142" s="56"/>
      <c r="Q142" s="56"/>
    </row>
    <row r="143" spans="1:18" ht="12.75" x14ac:dyDescent="0.2">
      <c r="A143" s="7"/>
      <c r="O143" s="56"/>
      <c r="P143" s="56"/>
      <c r="Q143" s="56"/>
    </row>
    <row r="144" spans="1:18" ht="12.75" x14ac:dyDescent="0.2">
      <c r="A144" s="7"/>
      <c r="O144" s="56"/>
      <c r="P144" s="56"/>
      <c r="Q144" s="56"/>
    </row>
    <row r="145" spans="1:17" ht="12.75" x14ac:dyDescent="0.2">
      <c r="A145" s="7"/>
      <c r="O145" s="56"/>
      <c r="P145" s="56"/>
      <c r="Q145" s="56"/>
    </row>
    <row r="146" spans="1:17" ht="12.75" x14ac:dyDescent="0.2">
      <c r="A146" s="7"/>
      <c r="O146" s="56"/>
      <c r="P146" s="56"/>
      <c r="Q146" s="56"/>
    </row>
    <row r="147" spans="1:17" ht="12.75" x14ac:dyDescent="0.2">
      <c r="A147" s="7"/>
      <c r="O147" s="56"/>
      <c r="P147" s="56"/>
      <c r="Q147" s="56"/>
    </row>
    <row r="148" spans="1:17" ht="12.75" x14ac:dyDescent="0.2">
      <c r="A148" s="7"/>
      <c r="O148" s="56"/>
      <c r="P148" s="56"/>
      <c r="Q148" s="56"/>
    </row>
    <row r="149" spans="1:17" ht="12.75" x14ac:dyDescent="0.2">
      <c r="A149" s="7"/>
      <c r="O149" s="56"/>
      <c r="P149" s="56"/>
      <c r="Q149" s="56"/>
    </row>
    <row r="150" spans="1:17" ht="12.75" x14ac:dyDescent="0.2">
      <c r="A150" s="7"/>
      <c r="O150" s="56"/>
      <c r="P150" s="56"/>
      <c r="Q150" s="56"/>
    </row>
    <row r="151" spans="1:17" ht="12.75" x14ac:dyDescent="0.2">
      <c r="A151" s="7"/>
      <c r="O151" s="56"/>
      <c r="P151" s="56"/>
      <c r="Q151" s="56"/>
    </row>
    <row r="152" spans="1:17" ht="12.75" x14ac:dyDescent="0.2">
      <c r="A152" s="7"/>
      <c r="O152" s="56"/>
      <c r="P152" s="56"/>
      <c r="Q152" s="56"/>
    </row>
    <row r="153" spans="1:17" ht="12.75" x14ac:dyDescent="0.2">
      <c r="A153" s="7"/>
      <c r="O153" s="56"/>
      <c r="P153" s="56"/>
      <c r="Q153" s="56"/>
    </row>
    <row r="154" spans="1:17" ht="12.75" x14ac:dyDescent="0.2">
      <c r="A154" s="7"/>
      <c r="O154" s="56"/>
      <c r="P154" s="56"/>
      <c r="Q154" s="56"/>
    </row>
    <row r="155" spans="1:17" ht="12.75" x14ac:dyDescent="0.2">
      <c r="A155" s="7"/>
      <c r="O155" s="56"/>
      <c r="P155" s="56"/>
      <c r="Q155" s="56"/>
    </row>
    <row r="156" spans="1:17" ht="12.75" x14ac:dyDescent="0.2">
      <c r="A156" s="7"/>
      <c r="O156" s="56"/>
      <c r="P156" s="56"/>
      <c r="Q156" s="56"/>
    </row>
    <row r="157" spans="1:17" ht="12.75" x14ac:dyDescent="0.2">
      <c r="A157" s="7"/>
      <c r="O157" s="56"/>
      <c r="P157" s="56"/>
      <c r="Q157" s="56"/>
    </row>
    <row r="158" spans="1:17" ht="12.75" x14ac:dyDescent="0.2">
      <c r="A158" s="7"/>
      <c r="O158" s="56"/>
      <c r="P158" s="56"/>
      <c r="Q158" s="56"/>
    </row>
    <row r="159" spans="1:17" ht="12.75" x14ac:dyDescent="0.2">
      <c r="A159" s="7"/>
      <c r="O159" s="56"/>
      <c r="P159" s="56"/>
      <c r="Q159" s="56"/>
    </row>
    <row r="160" spans="1:17" ht="12.75" x14ac:dyDescent="0.2">
      <c r="A160" s="7"/>
      <c r="O160" s="56"/>
      <c r="P160" s="56"/>
      <c r="Q160" s="56"/>
    </row>
    <row r="161" spans="1:17" ht="12.75" x14ac:dyDescent="0.2">
      <c r="A161" s="7"/>
      <c r="O161" s="56"/>
      <c r="P161" s="56"/>
      <c r="Q161" s="56"/>
    </row>
    <row r="162" spans="1:17" ht="12.75" x14ac:dyDescent="0.2">
      <c r="A162" s="7"/>
      <c r="O162" s="56"/>
      <c r="P162" s="56"/>
      <c r="Q162" s="56"/>
    </row>
    <row r="163" spans="1:17" ht="12.75" x14ac:dyDescent="0.2">
      <c r="A163" s="7"/>
      <c r="O163" s="56"/>
      <c r="P163" s="56"/>
      <c r="Q163" s="56"/>
    </row>
    <row r="164" spans="1:17" ht="12.75" x14ac:dyDescent="0.2">
      <c r="A164" s="7"/>
      <c r="O164" s="56"/>
      <c r="P164" s="56"/>
      <c r="Q164" s="56"/>
    </row>
    <row r="165" spans="1:17" ht="12.75" x14ac:dyDescent="0.2">
      <c r="A165" s="7"/>
      <c r="O165" s="56"/>
      <c r="P165" s="56"/>
      <c r="Q165" s="56"/>
    </row>
    <row r="166" spans="1:17" ht="12.75" x14ac:dyDescent="0.2">
      <c r="A166" s="7"/>
      <c r="O166" s="56"/>
      <c r="P166" s="56"/>
      <c r="Q166" s="56"/>
    </row>
    <row r="167" spans="1:17" ht="12.75" x14ac:dyDescent="0.2">
      <c r="A167" s="7"/>
      <c r="O167" s="56"/>
      <c r="P167" s="56"/>
      <c r="Q167" s="56"/>
    </row>
    <row r="168" spans="1:17" ht="12.75" x14ac:dyDescent="0.2">
      <c r="A168" s="7"/>
      <c r="O168" s="56"/>
      <c r="P168" s="56"/>
      <c r="Q168" s="56"/>
    </row>
    <row r="169" spans="1:17" ht="12.75" x14ac:dyDescent="0.2">
      <c r="A169" s="7"/>
      <c r="O169" s="56"/>
      <c r="P169" s="56"/>
      <c r="Q169" s="56"/>
    </row>
    <row r="170" spans="1:17" ht="12.75" x14ac:dyDescent="0.2">
      <c r="A170" s="7"/>
      <c r="O170" s="56"/>
      <c r="P170" s="56"/>
      <c r="Q170" s="56"/>
    </row>
    <row r="171" spans="1:17" ht="12.75" x14ac:dyDescent="0.2">
      <c r="A171" s="7"/>
      <c r="O171" s="56"/>
      <c r="P171" s="56"/>
      <c r="Q171" s="56"/>
    </row>
    <row r="172" spans="1:17" ht="12.75" x14ac:dyDescent="0.2">
      <c r="A172" s="7"/>
      <c r="O172" s="56"/>
      <c r="P172" s="56"/>
      <c r="Q172" s="56"/>
    </row>
    <row r="173" spans="1:17" ht="12.75" x14ac:dyDescent="0.2">
      <c r="A173" s="7"/>
      <c r="O173" s="56"/>
      <c r="P173" s="56"/>
      <c r="Q173" s="56"/>
    </row>
    <row r="174" spans="1:17" ht="12.75" x14ac:dyDescent="0.2">
      <c r="A174" s="7"/>
      <c r="O174" s="56"/>
      <c r="P174" s="56"/>
      <c r="Q174" s="56"/>
    </row>
    <row r="175" spans="1:17" ht="12.75" x14ac:dyDescent="0.2">
      <c r="A175" s="7"/>
      <c r="O175" s="56"/>
      <c r="P175" s="56"/>
      <c r="Q175" s="56"/>
    </row>
    <row r="176" spans="1:17" ht="12.75" x14ac:dyDescent="0.2">
      <c r="A176" s="7"/>
      <c r="O176" s="56"/>
      <c r="P176" s="56"/>
      <c r="Q176" s="56"/>
    </row>
    <row r="177" spans="1:17" ht="12.75" x14ac:dyDescent="0.2">
      <c r="A177" s="7"/>
      <c r="O177" s="56"/>
      <c r="P177" s="56"/>
      <c r="Q177" s="56"/>
    </row>
    <row r="178" spans="1:17" ht="12.75" x14ac:dyDescent="0.2">
      <c r="A178" s="7"/>
      <c r="O178" s="56"/>
      <c r="P178" s="56"/>
      <c r="Q178" s="56"/>
    </row>
    <row r="179" spans="1:17" ht="12.75" x14ac:dyDescent="0.2">
      <c r="A179" s="7"/>
      <c r="O179" s="56"/>
      <c r="P179" s="56"/>
      <c r="Q179" s="56"/>
    </row>
    <row r="180" spans="1:17" ht="12.75" x14ac:dyDescent="0.2">
      <c r="A180" s="7"/>
      <c r="O180" s="56"/>
      <c r="P180" s="56"/>
      <c r="Q180" s="56"/>
    </row>
    <row r="181" spans="1:17" ht="12.75" x14ac:dyDescent="0.2">
      <c r="A181" s="7"/>
      <c r="O181" s="56"/>
      <c r="P181" s="56"/>
      <c r="Q181" s="56"/>
    </row>
    <row r="182" spans="1:17" ht="12.75" x14ac:dyDescent="0.2">
      <c r="A182" s="7"/>
      <c r="O182" s="56"/>
      <c r="P182" s="56"/>
      <c r="Q182" s="56"/>
    </row>
    <row r="183" spans="1:17" ht="12.75" x14ac:dyDescent="0.2">
      <c r="A183" s="7"/>
      <c r="O183" s="56"/>
      <c r="P183" s="56"/>
      <c r="Q183" s="56"/>
    </row>
    <row r="184" spans="1:17" ht="12.75" x14ac:dyDescent="0.2">
      <c r="A184" s="7"/>
      <c r="O184" s="56"/>
      <c r="P184" s="56"/>
      <c r="Q184" s="56"/>
    </row>
    <row r="185" spans="1:17" ht="12.75" x14ac:dyDescent="0.2">
      <c r="A185" s="7"/>
      <c r="O185" s="56"/>
      <c r="P185" s="56"/>
      <c r="Q185" s="56"/>
    </row>
    <row r="186" spans="1:17" ht="12.75" x14ac:dyDescent="0.2">
      <c r="A186" s="7"/>
      <c r="O186" s="56"/>
      <c r="P186" s="56"/>
      <c r="Q186" s="56"/>
    </row>
    <row r="187" spans="1:17" ht="12.75" x14ac:dyDescent="0.2">
      <c r="A187" s="7"/>
      <c r="O187" s="56"/>
      <c r="P187" s="56"/>
      <c r="Q187" s="56"/>
    </row>
    <row r="188" spans="1:17" ht="12.75" x14ac:dyDescent="0.2">
      <c r="A188" s="7"/>
      <c r="O188" s="56"/>
      <c r="P188" s="56"/>
      <c r="Q188" s="56"/>
    </row>
    <row r="189" spans="1:17" ht="12.75" x14ac:dyDescent="0.2">
      <c r="A189" s="7"/>
      <c r="O189" s="56"/>
      <c r="P189" s="56"/>
      <c r="Q189" s="56"/>
    </row>
    <row r="190" spans="1:17" ht="12.75" x14ac:dyDescent="0.2">
      <c r="A190" s="7"/>
    </row>
    <row r="191" spans="1:17" ht="12.75" x14ac:dyDescent="0.2">
      <c r="A191" s="7"/>
    </row>
    <row r="192" spans="1:17" ht="12.75" x14ac:dyDescent="0.2">
      <c r="A192" s="7"/>
    </row>
    <row r="193" spans="1:1" ht="12.75" x14ac:dyDescent="0.2">
      <c r="A193" s="7"/>
    </row>
    <row r="194" spans="1:1" ht="12.75" x14ac:dyDescent="0.2">
      <c r="A194" s="7"/>
    </row>
    <row r="195" spans="1:1" ht="12.75" x14ac:dyDescent="0.2">
      <c r="A195" s="7"/>
    </row>
    <row r="196" spans="1:1" ht="12.75" x14ac:dyDescent="0.2">
      <c r="A196" s="7"/>
    </row>
    <row r="197" spans="1:1" ht="12.75" x14ac:dyDescent="0.2">
      <c r="A197" s="7"/>
    </row>
    <row r="198" spans="1:1" ht="12.75" x14ac:dyDescent="0.2">
      <c r="A198" s="7"/>
    </row>
    <row r="199" spans="1:1" ht="12.75" x14ac:dyDescent="0.2">
      <c r="A199" s="7"/>
    </row>
    <row r="200" spans="1:1" ht="12.75" x14ac:dyDescent="0.2">
      <c r="A200" s="7"/>
    </row>
    <row r="201" spans="1:1" ht="12.75" x14ac:dyDescent="0.2">
      <c r="A201" s="7"/>
    </row>
    <row r="202" spans="1:1" ht="12.75" x14ac:dyDescent="0.2">
      <c r="A202" s="7"/>
    </row>
    <row r="203" spans="1:1" ht="12.75" x14ac:dyDescent="0.2">
      <c r="A203" s="7"/>
    </row>
    <row r="204" spans="1:1" ht="12.75" x14ac:dyDescent="0.2">
      <c r="A204" s="7"/>
    </row>
    <row r="205" spans="1:1" ht="12.75" x14ac:dyDescent="0.2">
      <c r="A205" s="7"/>
    </row>
    <row r="206" spans="1:1" ht="12.75" x14ac:dyDescent="0.2">
      <c r="A206" s="7"/>
    </row>
    <row r="207" spans="1:1" ht="12.75" x14ac:dyDescent="0.2">
      <c r="A207" s="7"/>
    </row>
    <row r="208" spans="1:1" ht="12.75" x14ac:dyDescent="0.2">
      <c r="A208" s="7"/>
    </row>
    <row r="209" spans="1:1" ht="12.75" x14ac:dyDescent="0.2">
      <c r="A209" s="7"/>
    </row>
    <row r="210" spans="1:1" ht="12.75" x14ac:dyDescent="0.2">
      <c r="A210" s="7"/>
    </row>
    <row r="211" spans="1:1" ht="12.75" x14ac:dyDescent="0.2">
      <c r="A211" s="7"/>
    </row>
    <row r="212" spans="1:1" ht="12.75" x14ac:dyDescent="0.2">
      <c r="A212" s="7"/>
    </row>
    <row r="213" spans="1:1" ht="12.75" x14ac:dyDescent="0.2">
      <c r="A213" s="7"/>
    </row>
    <row r="214" spans="1:1" ht="12.75" x14ac:dyDescent="0.2">
      <c r="A214" s="7"/>
    </row>
    <row r="215" spans="1:1" ht="12.75" x14ac:dyDescent="0.2">
      <c r="A215" s="7"/>
    </row>
    <row r="216" spans="1:1" ht="12.75" x14ac:dyDescent="0.2">
      <c r="A216" s="7"/>
    </row>
    <row r="217" spans="1:1" ht="12.75" x14ac:dyDescent="0.2">
      <c r="A217" s="7"/>
    </row>
    <row r="218" spans="1:1" ht="12.75" x14ac:dyDescent="0.2">
      <c r="A218" s="7"/>
    </row>
    <row r="219" spans="1:1" ht="12.75" x14ac:dyDescent="0.2">
      <c r="A219" s="7"/>
    </row>
    <row r="220" spans="1:1" ht="12.75" x14ac:dyDescent="0.2">
      <c r="A220" s="7"/>
    </row>
    <row r="221" spans="1:1" ht="12.75" x14ac:dyDescent="0.2">
      <c r="A221" s="7"/>
    </row>
    <row r="222" spans="1:1" ht="12.75" x14ac:dyDescent="0.2">
      <c r="A222" s="7"/>
    </row>
    <row r="223" spans="1:1" ht="12.75" x14ac:dyDescent="0.2">
      <c r="A223" s="7"/>
    </row>
    <row r="224" spans="1:1" ht="12.75" x14ac:dyDescent="0.2">
      <c r="A224" s="7"/>
    </row>
    <row r="225" spans="1:1" ht="12.75" x14ac:dyDescent="0.2">
      <c r="A225" s="7"/>
    </row>
    <row r="226" spans="1:1" ht="12.75" x14ac:dyDescent="0.2">
      <c r="A226" s="7"/>
    </row>
    <row r="227" spans="1:1" ht="12.75" x14ac:dyDescent="0.2">
      <c r="A227" s="7"/>
    </row>
    <row r="228" spans="1:1" ht="12.75" x14ac:dyDescent="0.2">
      <c r="A228" s="7"/>
    </row>
    <row r="229" spans="1:1" ht="12.75" x14ac:dyDescent="0.2">
      <c r="A229" s="7"/>
    </row>
    <row r="230" spans="1:1" ht="12.75" x14ac:dyDescent="0.2">
      <c r="A230" s="7"/>
    </row>
    <row r="231" spans="1:1" ht="12.75" x14ac:dyDescent="0.2">
      <c r="A231" s="7"/>
    </row>
    <row r="232" spans="1:1" ht="12.75" x14ac:dyDescent="0.2">
      <c r="A232" s="7"/>
    </row>
    <row r="233" spans="1:1" ht="12.75" x14ac:dyDescent="0.2">
      <c r="A233" s="7"/>
    </row>
    <row r="234" spans="1:1" ht="12.75" x14ac:dyDescent="0.2">
      <c r="A234" s="7"/>
    </row>
    <row r="235" spans="1:1" ht="12.75" x14ac:dyDescent="0.2">
      <c r="A235" s="7"/>
    </row>
    <row r="236" spans="1:1" ht="12.75" x14ac:dyDescent="0.2">
      <c r="A236" s="7"/>
    </row>
    <row r="237" spans="1:1" ht="12.75" x14ac:dyDescent="0.2">
      <c r="A237" s="7"/>
    </row>
    <row r="238" spans="1:1" ht="12.75" x14ac:dyDescent="0.2">
      <c r="A238" s="7"/>
    </row>
    <row r="239" spans="1:1" ht="12.75" x14ac:dyDescent="0.2">
      <c r="A239" s="7"/>
    </row>
    <row r="240" spans="1:1" ht="12.75" x14ac:dyDescent="0.2">
      <c r="A240" s="7"/>
    </row>
    <row r="241" spans="1:1" ht="12.75" x14ac:dyDescent="0.2">
      <c r="A241" s="7"/>
    </row>
    <row r="242" spans="1:1" ht="12.75" x14ac:dyDescent="0.2">
      <c r="A242" s="7"/>
    </row>
    <row r="243" spans="1:1" ht="12.75" x14ac:dyDescent="0.2">
      <c r="A243" s="7"/>
    </row>
    <row r="244" spans="1:1" ht="12.75" x14ac:dyDescent="0.2">
      <c r="A244" s="7"/>
    </row>
    <row r="245" spans="1:1" ht="12.75" x14ac:dyDescent="0.2">
      <c r="A245" s="7"/>
    </row>
    <row r="246" spans="1:1" ht="12.75" x14ac:dyDescent="0.2">
      <c r="A246" s="7"/>
    </row>
    <row r="247" spans="1:1" ht="12.75" x14ac:dyDescent="0.2">
      <c r="A247" s="7"/>
    </row>
    <row r="248" spans="1:1" ht="12.75" x14ac:dyDescent="0.2">
      <c r="A248" s="7"/>
    </row>
    <row r="249" spans="1:1" ht="12.75" x14ac:dyDescent="0.2">
      <c r="A249" s="7"/>
    </row>
    <row r="250" spans="1:1" ht="12.75" x14ac:dyDescent="0.2">
      <c r="A250" s="7"/>
    </row>
    <row r="251" spans="1:1" ht="12.75" x14ac:dyDescent="0.2">
      <c r="A251" s="7"/>
    </row>
    <row r="252" spans="1:1" ht="12.75" x14ac:dyDescent="0.2">
      <c r="A252" s="7"/>
    </row>
    <row r="253" spans="1:1" ht="12.75" x14ac:dyDescent="0.2">
      <c r="A253" s="7"/>
    </row>
    <row r="254" spans="1:1" ht="12.75" x14ac:dyDescent="0.2">
      <c r="A254" s="7"/>
    </row>
    <row r="255" spans="1:1" ht="12.75" x14ac:dyDescent="0.2">
      <c r="A255" s="7"/>
    </row>
    <row r="256" spans="1:1" ht="12.75" x14ac:dyDescent="0.2">
      <c r="A256" s="7"/>
    </row>
    <row r="257" spans="1:1" ht="12.75" x14ac:dyDescent="0.2">
      <c r="A257" s="7"/>
    </row>
    <row r="258" spans="1:1" ht="12.75" x14ac:dyDescent="0.2">
      <c r="A258" s="7"/>
    </row>
    <row r="259" spans="1:1" ht="12.75" x14ac:dyDescent="0.2">
      <c r="A259" s="7"/>
    </row>
    <row r="260" spans="1:1" ht="12.75" x14ac:dyDescent="0.2">
      <c r="A260" s="7"/>
    </row>
    <row r="261" spans="1:1" ht="12.75" x14ac:dyDescent="0.2">
      <c r="A261" s="7"/>
    </row>
    <row r="262" spans="1:1" ht="12.75" x14ac:dyDescent="0.2">
      <c r="A262" s="7"/>
    </row>
    <row r="263" spans="1:1" ht="12.75" x14ac:dyDescent="0.2">
      <c r="A263" s="7"/>
    </row>
    <row r="264" spans="1:1" ht="12.75" x14ac:dyDescent="0.2">
      <c r="A264" s="7"/>
    </row>
    <row r="265" spans="1:1" ht="12.75" x14ac:dyDescent="0.2">
      <c r="A265" s="7"/>
    </row>
    <row r="266" spans="1:1" ht="12.75" x14ac:dyDescent="0.2">
      <c r="A266" s="7"/>
    </row>
    <row r="267" spans="1:1" ht="12.75" x14ac:dyDescent="0.2">
      <c r="A267" s="7"/>
    </row>
    <row r="268" spans="1:1" ht="12.75" x14ac:dyDescent="0.2">
      <c r="A268" s="7"/>
    </row>
    <row r="269" spans="1:1" ht="12.75" x14ac:dyDescent="0.2">
      <c r="A269" s="7"/>
    </row>
    <row r="270" spans="1:1" ht="12.75" x14ac:dyDescent="0.2">
      <c r="A270" s="7"/>
    </row>
    <row r="271" spans="1:1" ht="12.75" x14ac:dyDescent="0.2">
      <c r="A271" s="7"/>
    </row>
    <row r="272" spans="1:1" ht="12.75" x14ac:dyDescent="0.2">
      <c r="A272" s="7"/>
    </row>
    <row r="273" spans="1:1" ht="12.75" x14ac:dyDescent="0.2">
      <c r="A273" s="7"/>
    </row>
    <row r="274" spans="1:1" ht="12.75" x14ac:dyDescent="0.2">
      <c r="A274" s="7"/>
    </row>
    <row r="275" spans="1:1" ht="12.75" x14ac:dyDescent="0.2">
      <c r="A275" s="7"/>
    </row>
    <row r="276" spans="1:1" ht="12.75" x14ac:dyDescent="0.2">
      <c r="A276" s="7"/>
    </row>
    <row r="277" spans="1:1" ht="12.75" x14ac:dyDescent="0.2">
      <c r="A277" s="7"/>
    </row>
    <row r="278" spans="1:1" ht="12.75" x14ac:dyDescent="0.2">
      <c r="A278" s="7"/>
    </row>
    <row r="279" spans="1:1" ht="12.75" x14ac:dyDescent="0.2">
      <c r="A279" s="7"/>
    </row>
    <row r="280" spans="1:1" ht="12.75" x14ac:dyDescent="0.2">
      <c r="A280" s="7"/>
    </row>
    <row r="281" spans="1:1" ht="12.75" x14ac:dyDescent="0.2">
      <c r="A281" s="7"/>
    </row>
    <row r="282" spans="1:1" ht="12.75" x14ac:dyDescent="0.2">
      <c r="A282" s="7"/>
    </row>
    <row r="283" spans="1:1" ht="12.75" x14ac:dyDescent="0.2">
      <c r="A283" s="7"/>
    </row>
    <row r="284" spans="1:1" ht="12.75" x14ac:dyDescent="0.2">
      <c r="A284" s="7"/>
    </row>
    <row r="285" spans="1:1" ht="12.75" x14ac:dyDescent="0.2">
      <c r="A285" s="7"/>
    </row>
    <row r="286" spans="1:1" ht="12.75" x14ac:dyDescent="0.2">
      <c r="A286" s="7"/>
    </row>
    <row r="287" spans="1:1" ht="12.75" x14ac:dyDescent="0.2">
      <c r="A287" s="7"/>
    </row>
    <row r="288" spans="1:1" ht="12.75" x14ac:dyDescent="0.2">
      <c r="A288" s="7"/>
    </row>
    <row r="289" spans="1:1" ht="12.75" x14ac:dyDescent="0.2">
      <c r="A289" s="7"/>
    </row>
    <row r="290" spans="1:1" ht="12.75" x14ac:dyDescent="0.2">
      <c r="A290" s="7"/>
    </row>
    <row r="291" spans="1:1" ht="12.75" x14ac:dyDescent="0.2">
      <c r="A291" s="7"/>
    </row>
    <row r="292" spans="1:1" ht="12.75" x14ac:dyDescent="0.2">
      <c r="A292" s="7"/>
    </row>
    <row r="293" spans="1:1" ht="12.75" x14ac:dyDescent="0.2">
      <c r="A293" s="7"/>
    </row>
    <row r="294" spans="1:1" ht="12.75" x14ac:dyDescent="0.2">
      <c r="A294" s="7"/>
    </row>
    <row r="295" spans="1:1" ht="12.75" x14ac:dyDescent="0.2">
      <c r="A295" s="7"/>
    </row>
    <row r="296" spans="1:1" ht="12.75" x14ac:dyDescent="0.2">
      <c r="A296" s="7"/>
    </row>
    <row r="297" spans="1:1" ht="12.75" x14ac:dyDescent="0.2">
      <c r="A297" s="7"/>
    </row>
    <row r="298" spans="1:1" ht="12.75" x14ac:dyDescent="0.2">
      <c r="A298" s="7"/>
    </row>
    <row r="299" spans="1:1" ht="12.75" x14ac:dyDescent="0.2">
      <c r="A299" s="7"/>
    </row>
    <row r="300" spans="1:1" ht="12.75" x14ac:dyDescent="0.2">
      <c r="A300" s="7"/>
    </row>
    <row r="301" spans="1:1" ht="12.75" x14ac:dyDescent="0.2">
      <c r="A301" s="7"/>
    </row>
    <row r="302" spans="1:1" ht="12.75" x14ac:dyDescent="0.2">
      <c r="A302" s="7"/>
    </row>
    <row r="303" spans="1:1" ht="12.75" x14ac:dyDescent="0.2">
      <c r="A303" s="7"/>
    </row>
    <row r="304" spans="1:1" ht="12.75" x14ac:dyDescent="0.2">
      <c r="A304" s="7"/>
    </row>
    <row r="305" spans="1:1" ht="12.75" x14ac:dyDescent="0.2">
      <c r="A305" s="7"/>
    </row>
    <row r="306" spans="1:1" ht="12.75" x14ac:dyDescent="0.2">
      <c r="A306" s="7"/>
    </row>
    <row r="307" spans="1:1" ht="12.75" x14ac:dyDescent="0.2">
      <c r="A307" s="7"/>
    </row>
    <row r="308" spans="1:1" ht="12.75" x14ac:dyDescent="0.2">
      <c r="A308" s="7"/>
    </row>
    <row r="309" spans="1:1" ht="12.75" x14ac:dyDescent="0.2">
      <c r="A309" s="7"/>
    </row>
    <row r="310" spans="1:1" ht="12.75" x14ac:dyDescent="0.2">
      <c r="A310" s="7"/>
    </row>
    <row r="311" spans="1:1" ht="12.75" x14ac:dyDescent="0.2">
      <c r="A311" s="7"/>
    </row>
    <row r="312" spans="1:1" ht="12.75" x14ac:dyDescent="0.2">
      <c r="A312" s="7"/>
    </row>
    <row r="313" spans="1:1" ht="12.75" x14ac:dyDescent="0.2">
      <c r="A313" s="7"/>
    </row>
    <row r="314" spans="1:1" ht="12.75" x14ac:dyDescent="0.2">
      <c r="A314" s="7"/>
    </row>
    <row r="315" spans="1:1" ht="12.75" x14ac:dyDescent="0.2">
      <c r="A315" s="7"/>
    </row>
    <row r="316" spans="1:1" ht="12.75" x14ac:dyDescent="0.2">
      <c r="A316" s="7"/>
    </row>
    <row r="317" spans="1:1" ht="12.75" x14ac:dyDescent="0.2">
      <c r="A317" s="7"/>
    </row>
    <row r="318" spans="1:1" ht="12.75" x14ac:dyDescent="0.2">
      <c r="A318" s="7"/>
    </row>
    <row r="319" spans="1:1" ht="12.75" x14ac:dyDescent="0.2">
      <c r="A319" s="7"/>
    </row>
    <row r="320" spans="1:1" ht="12.75" x14ac:dyDescent="0.2">
      <c r="A320" s="7"/>
    </row>
    <row r="321" spans="1:1" ht="12.75" x14ac:dyDescent="0.2">
      <c r="A321" s="7"/>
    </row>
    <row r="322" spans="1:1" ht="12.75" x14ac:dyDescent="0.2">
      <c r="A322" s="7"/>
    </row>
    <row r="323" spans="1:1" ht="12.75" x14ac:dyDescent="0.2">
      <c r="A323" s="7"/>
    </row>
    <row r="324" spans="1:1" ht="12.75" x14ac:dyDescent="0.2">
      <c r="A324" s="7"/>
    </row>
    <row r="325" spans="1:1" ht="12.75" x14ac:dyDescent="0.2">
      <c r="A325" s="7"/>
    </row>
    <row r="326" spans="1:1" ht="12.75" x14ac:dyDescent="0.2">
      <c r="A326" s="7"/>
    </row>
    <row r="327" spans="1:1" ht="12.75" x14ac:dyDescent="0.2">
      <c r="A327" s="7"/>
    </row>
    <row r="328" spans="1:1" ht="12.75" x14ac:dyDescent="0.2">
      <c r="A328" s="7"/>
    </row>
    <row r="329" spans="1:1" ht="12.75" x14ac:dyDescent="0.2">
      <c r="A329" s="7"/>
    </row>
    <row r="330" spans="1:1" ht="12.75" x14ac:dyDescent="0.2">
      <c r="A330" s="7"/>
    </row>
    <row r="331" spans="1:1" ht="12.75" x14ac:dyDescent="0.2">
      <c r="A331" s="7"/>
    </row>
    <row r="332" spans="1:1" ht="12.75" x14ac:dyDescent="0.2">
      <c r="A332" s="7"/>
    </row>
    <row r="333" spans="1:1" ht="12.75" x14ac:dyDescent="0.2">
      <c r="A333" s="7"/>
    </row>
    <row r="334" spans="1:1" ht="12.75" x14ac:dyDescent="0.2">
      <c r="A334" s="7"/>
    </row>
    <row r="335" spans="1:1" ht="12.75" x14ac:dyDescent="0.2">
      <c r="A335" s="7"/>
    </row>
    <row r="336" spans="1:1" ht="12.75" x14ac:dyDescent="0.2">
      <c r="A336" s="7"/>
    </row>
    <row r="337" spans="1:1" ht="12.75" x14ac:dyDescent="0.2">
      <c r="A337" s="7"/>
    </row>
    <row r="338" spans="1:1" ht="12.75" x14ac:dyDescent="0.2">
      <c r="A338" s="7"/>
    </row>
    <row r="339" spans="1:1" ht="12.75" x14ac:dyDescent="0.2">
      <c r="A339" s="7"/>
    </row>
    <row r="340" spans="1:1" ht="12.75" x14ac:dyDescent="0.2">
      <c r="A340" s="7"/>
    </row>
    <row r="341" spans="1:1" ht="12.75" x14ac:dyDescent="0.2">
      <c r="A341" s="7"/>
    </row>
    <row r="342" spans="1:1" ht="12.75" x14ac:dyDescent="0.2">
      <c r="A342" s="7"/>
    </row>
    <row r="343" spans="1:1" ht="12.75" x14ac:dyDescent="0.2">
      <c r="A343" s="7"/>
    </row>
    <row r="344" spans="1:1" ht="12.75" x14ac:dyDescent="0.2">
      <c r="A344" s="7"/>
    </row>
    <row r="345" spans="1:1" ht="12.75" x14ac:dyDescent="0.2">
      <c r="A345" s="7"/>
    </row>
    <row r="346" spans="1:1" ht="12.75" x14ac:dyDescent="0.2">
      <c r="A346" s="7"/>
    </row>
    <row r="347" spans="1:1" ht="12.75" x14ac:dyDescent="0.2">
      <c r="A347" s="7"/>
    </row>
    <row r="348" spans="1:1" ht="12.75" x14ac:dyDescent="0.2">
      <c r="A348" s="7"/>
    </row>
    <row r="349" spans="1:1" ht="12.75" x14ac:dyDescent="0.2">
      <c r="A349" s="7"/>
    </row>
    <row r="350" spans="1:1" ht="12.75" x14ac:dyDescent="0.2">
      <c r="A350" s="7"/>
    </row>
    <row r="351" spans="1:1" ht="12.75" x14ac:dyDescent="0.2">
      <c r="A351" s="7"/>
    </row>
    <row r="352" spans="1:1" ht="12.75" x14ac:dyDescent="0.2">
      <c r="A352" s="7"/>
    </row>
    <row r="353" spans="1:1" ht="12.75" x14ac:dyDescent="0.2">
      <c r="A353" s="7"/>
    </row>
    <row r="354" spans="1:1" ht="12.75" x14ac:dyDescent="0.2">
      <c r="A354" s="7"/>
    </row>
    <row r="355" spans="1:1" ht="12.75" x14ac:dyDescent="0.2">
      <c r="A355" s="7"/>
    </row>
    <row r="356" spans="1:1" ht="12.75" x14ac:dyDescent="0.2">
      <c r="A356" s="7"/>
    </row>
    <row r="357" spans="1:1" ht="12.75" x14ac:dyDescent="0.2">
      <c r="A357" s="7"/>
    </row>
    <row r="358" spans="1:1" ht="12.75" x14ac:dyDescent="0.2">
      <c r="A358" s="7"/>
    </row>
    <row r="359" spans="1:1" ht="12.75" x14ac:dyDescent="0.2">
      <c r="A359" s="7"/>
    </row>
    <row r="360" spans="1:1" ht="12.75" x14ac:dyDescent="0.2">
      <c r="A360" s="7"/>
    </row>
    <row r="361" spans="1:1" ht="12.75" x14ac:dyDescent="0.2">
      <c r="A361" s="7"/>
    </row>
    <row r="362" spans="1:1" ht="12.75" x14ac:dyDescent="0.2">
      <c r="A362" s="7"/>
    </row>
    <row r="363" spans="1:1" ht="12.75" x14ac:dyDescent="0.2">
      <c r="A363" s="7"/>
    </row>
    <row r="364" spans="1:1" ht="12.75" x14ac:dyDescent="0.2">
      <c r="A364" s="7"/>
    </row>
    <row r="365" spans="1:1" ht="12.75" x14ac:dyDescent="0.2">
      <c r="A365" s="7"/>
    </row>
    <row r="366" spans="1:1" ht="12.75" x14ac:dyDescent="0.2">
      <c r="A366" s="7"/>
    </row>
    <row r="367" spans="1:1" ht="12.75" x14ac:dyDescent="0.2">
      <c r="A367" s="7"/>
    </row>
    <row r="368" spans="1:1" ht="12.75" x14ac:dyDescent="0.2">
      <c r="A368" s="7"/>
    </row>
    <row r="369" spans="1:1" ht="12.75" x14ac:dyDescent="0.2">
      <c r="A369" s="7"/>
    </row>
    <row r="370" spans="1:1" ht="12.75" x14ac:dyDescent="0.2">
      <c r="A370" s="7"/>
    </row>
    <row r="371" spans="1:1" ht="12.75" x14ac:dyDescent="0.2">
      <c r="A371" s="7"/>
    </row>
    <row r="372" spans="1:1" ht="12.75" x14ac:dyDescent="0.2">
      <c r="A372" s="7"/>
    </row>
    <row r="373" spans="1:1" ht="12.75" x14ac:dyDescent="0.2">
      <c r="A373" s="7"/>
    </row>
    <row r="374" spans="1:1" ht="12.75" x14ac:dyDescent="0.2">
      <c r="A374" s="7"/>
    </row>
    <row r="375" spans="1:1" ht="12.75" x14ac:dyDescent="0.2">
      <c r="A375" s="7"/>
    </row>
    <row r="376" spans="1:1" ht="12.75" x14ac:dyDescent="0.2">
      <c r="A376" s="7"/>
    </row>
    <row r="377" spans="1:1" ht="12.75" x14ac:dyDescent="0.2">
      <c r="A377" s="7"/>
    </row>
    <row r="378" spans="1:1" ht="12.75" x14ac:dyDescent="0.2">
      <c r="A378" s="7"/>
    </row>
    <row r="379" spans="1:1" ht="12.75" x14ac:dyDescent="0.2">
      <c r="A379" s="7"/>
    </row>
    <row r="380" spans="1:1" ht="12.75" x14ac:dyDescent="0.2">
      <c r="A380" s="7"/>
    </row>
    <row r="381" spans="1:1" ht="12.75" x14ac:dyDescent="0.2">
      <c r="A381" s="7"/>
    </row>
    <row r="382" spans="1:1" ht="12.75" x14ac:dyDescent="0.2">
      <c r="A382" s="7"/>
    </row>
    <row r="383" spans="1:1" ht="12.75" x14ac:dyDescent="0.2">
      <c r="A383" s="7"/>
    </row>
    <row r="384" spans="1:1" ht="12.75" x14ac:dyDescent="0.2">
      <c r="A384" s="7"/>
    </row>
    <row r="385" spans="1:1" ht="12.75" x14ac:dyDescent="0.2">
      <c r="A385" s="7"/>
    </row>
    <row r="386" spans="1:1" ht="12.75" x14ac:dyDescent="0.2">
      <c r="A386" s="7"/>
    </row>
    <row r="387" spans="1:1" ht="12.75" x14ac:dyDescent="0.2">
      <c r="A387" s="7"/>
    </row>
    <row r="388" spans="1:1" ht="12.75" x14ac:dyDescent="0.2">
      <c r="A388" s="7"/>
    </row>
    <row r="389" spans="1:1" ht="12.75" x14ac:dyDescent="0.2">
      <c r="A389" s="7"/>
    </row>
    <row r="390" spans="1:1" ht="12.75" x14ac:dyDescent="0.2">
      <c r="A390" s="7"/>
    </row>
    <row r="391" spans="1:1" ht="12.75" x14ac:dyDescent="0.2">
      <c r="A391" s="7"/>
    </row>
    <row r="392" spans="1:1" ht="12.75" x14ac:dyDescent="0.2">
      <c r="A392" s="7"/>
    </row>
    <row r="393" spans="1:1" ht="12.75" x14ac:dyDescent="0.2">
      <c r="A393" s="7"/>
    </row>
    <row r="394" spans="1:1" ht="12.75" x14ac:dyDescent="0.2">
      <c r="A394" s="7"/>
    </row>
    <row r="395" spans="1:1" ht="12.75" x14ac:dyDescent="0.2">
      <c r="A395" s="7"/>
    </row>
    <row r="396" spans="1:1" ht="12.75" x14ac:dyDescent="0.2">
      <c r="A396" s="7"/>
    </row>
    <row r="397" spans="1:1" ht="12.75" x14ac:dyDescent="0.2">
      <c r="A397" s="7"/>
    </row>
    <row r="398" spans="1:1" ht="12.75" x14ac:dyDescent="0.2">
      <c r="A398" s="7"/>
    </row>
    <row r="399" spans="1:1" ht="12.75" x14ac:dyDescent="0.2">
      <c r="A399" s="7"/>
    </row>
    <row r="400" spans="1:1" ht="12.75" x14ac:dyDescent="0.2">
      <c r="A400" s="7"/>
    </row>
    <row r="401" spans="1:1" ht="12.75" x14ac:dyDescent="0.2">
      <c r="A401" s="7"/>
    </row>
    <row r="402" spans="1:1" ht="12.75" x14ac:dyDescent="0.2">
      <c r="A402" s="7"/>
    </row>
    <row r="403" spans="1:1" ht="12.75" x14ac:dyDescent="0.2">
      <c r="A403" s="7"/>
    </row>
    <row r="404" spans="1:1" ht="12.75" x14ac:dyDescent="0.2">
      <c r="A404" s="7"/>
    </row>
    <row r="405" spans="1:1" ht="12.75" x14ac:dyDescent="0.2">
      <c r="A405" s="7"/>
    </row>
    <row r="406" spans="1:1" ht="12.75" x14ac:dyDescent="0.2">
      <c r="A406" s="7"/>
    </row>
    <row r="407" spans="1:1" ht="12.75" x14ac:dyDescent="0.2">
      <c r="A407" s="7"/>
    </row>
    <row r="408" spans="1:1" ht="12.75" x14ac:dyDescent="0.2">
      <c r="A408" s="7"/>
    </row>
    <row r="409" spans="1:1" ht="12.75" x14ac:dyDescent="0.2">
      <c r="A409" s="7"/>
    </row>
    <row r="410" spans="1:1" ht="12.75" x14ac:dyDescent="0.2">
      <c r="A410" s="7"/>
    </row>
    <row r="411" spans="1:1" ht="12.75" x14ac:dyDescent="0.2">
      <c r="A411" s="7"/>
    </row>
    <row r="412" spans="1:1" ht="12.75" x14ac:dyDescent="0.2">
      <c r="A412" s="7"/>
    </row>
    <row r="413" spans="1:1" ht="12.75" x14ac:dyDescent="0.2">
      <c r="A413" s="7"/>
    </row>
    <row r="414" spans="1:1" ht="12.75" x14ac:dyDescent="0.2">
      <c r="A414" s="7"/>
    </row>
    <row r="415" spans="1:1" ht="12.75" x14ac:dyDescent="0.2">
      <c r="A415" s="7"/>
    </row>
    <row r="416" spans="1:1" ht="12.75" x14ac:dyDescent="0.2">
      <c r="A416" s="7"/>
    </row>
    <row r="417" spans="1:1" ht="12.75" x14ac:dyDescent="0.2">
      <c r="A417" s="7"/>
    </row>
    <row r="418" spans="1:1" ht="12.75" x14ac:dyDescent="0.2">
      <c r="A418" s="7"/>
    </row>
    <row r="419" spans="1:1" ht="12.75" x14ac:dyDescent="0.2">
      <c r="A419" s="7"/>
    </row>
    <row r="420" spans="1:1" ht="12.75" x14ac:dyDescent="0.2">
      <c r="A420" s="7"/>
    </row>
    <row r="421" spans="1:1" ht="12.75" x14ac:dyDescent="0.2">
      <c r="A421" s="7"/>
    </row>
    <row r="422" spans="1:1" ht="12.75" x14ac:dyDescent="0.2">
      <c r="A422" s="7"/>
    </row>
    <row r="423" spans="1:1" ht="12.75" x14ac:dyDescent="0.2">
      <c r="A423" s="7"/>
    </row>
    <row r="424" spans="1:1" ht="12.75" x14ac:dyDescent="0.2">
      <c r="A424" s="7"/>
    </row>
    <row r="425" spans="1:1" ht="12.75" x14ac:dyDescent="0.2">
      <c r="A425" s="7"/>
    </row>
    <row r="426" spans="1:1" ht="12.75" x14ac:dyDescent="0.2">
      <c r="A426" s="7"/>
    </row>
    <row r="427" spans="1:1" ht="12.75" x14ac:dyDescent="0.2">
      <c r="A427" s="7"/>
    </row>
    <row r="428" spans="1:1" ht="12.75" x14ac:dyDescent="0.2">
      <c r="A428" s="7"/>
    </row>
    <row r="429" spans="1:1" ht="12.75" x14ac:dyDescent="0.2">
      <c r="A429" s="7"/>
    </row>
    <row r="430" spans="1:1" ht="12.75" x14ac:dyDescent="0.2">
      <c r="A430" s="7"/>
    </row>
    <row r="431" spans="1:1" ht="12.75" x14ac:dyDescent="0.2">
      <c r="A431" s="7"/>
    </row>
    <row r="432" spans="1:1" ht="12.75" x14ac:dyDescent="0.2">
      <c r="A432" s="7"/>
    </row>
    <row r="433" spans="1:1" ht="12.75" x14ac:dyDescent="0.2">
      <c r="A433" s="7"/>
    </row>
    <row r="434" spans="1:1" ht="12.75" x14ac:dyDescent="0.2">
      <c r="A434" s="7"/>
    </row>
    <row r="435" spans="1:1" ht="12.75" x14ac:dyDescent="0.2">
      <c r="A435" s="7"/>
    </row>
    <row r="436" spans="1:1" ht="12.75" x14ac:dyDescent="0.2">
      <c r="A436" s="7"/>
    </row>
    <row r="437" spans="1:1" ht="12.75" x14ac:dyDescent="0.2">
      <c r="A437" s="7"/>
    </row>
    <row r="438" spans="1:1" ht="12.75" x14ac:dyDescent="0.2">
      <c r="A438" s="7"/>
    </row>
    <row r="439" spans="1:1" ht="12.75" x14ac:dyDescent="0.2">
      <c r="A439" s="7"/>
    </row>
    <row r="440" spans="1:1" ht="12.75" x14ac:dyDescent="0.2">
      <c r="A440" s="7"/>
    </row>
    <row r="441" spans="1:1" ht="12.75" x14ac:dyDescent="0.2">
      <c r="A441" s="7"/>
    </row>
    <row r="442" spans="1:1" ht="12.75" x14ac:dyDescent="0.2">
      <c r="A442" s="7"/>
    </row>
    <row r="443" spans="1:1" ht="12.75" x14ac:dyDescent="0.2">
      <c r="A443" s="7"/>
    </row>
    <row r="444" spans="1:1" ht="12.75" x14ac:dyDescent="0.2">
      <c r="A444" s="7"/>
    </row>
    <row r="445" spans="1:1" ht="12.75" x14ac:dyDescent="0.2">
      <c r="A445" s="7"/>
    </row>
    <row r="446" spans="1:1" ht="12.75" x14ac:dyDescent="0.2">
      <c r="A446" s="7"/>
    </row>
    <row r="447" spans="1:1" ht="12.75" x14ac:dyDescent="0.2">
      <c r="A447" s="7"/>
    </row>
    <row r="448" spans="1:1" ht="12.75" x14ac:dyDescent="0.2">
      <c r="A448" s="7"/>
    </row>
    <row r="449" spans="1:1" ht="12.75" x14ac:dyDescent="0.2">
      <c r="A449" s="7"/>
    </row>
    <row r="450" spans="1:1" ht="12.75" x14ac:dyDescent="0.2">
      <c r="A450" s="7"/>
    </row>
    <row r="451" spans="1:1" ht="12.75" x14ac:dyDescent="0.2">
      <c r="A451" s="7"/>
    </row>
    <row r="452" spans="1:1" ht="12.75" x14ac:dyDescent="0.2">
      <c r="A452" s="7"/>
    </row>
    <row r="453" spans="1:1" ht="12.75" x14ac:dyDescent="0.2">
      <c r="A453" s="7"/>
    </row>
    <row r="454" spans="1:1" ht="12.75" x14ac:dyDescent="0.2">
      <c r="A454" s="7"/>
    </row>
    <row r="455" spans="1:1" ht="12.75" x14ac:dyDescent="0.2">
      <c r="A455" s="7"/>
    </row>
    <row r="456" spans="1:1" ht="12.75" x14ac:dyDescent="0.2">
      <c r="A456" s="7"/>
    </row>
    <row r="457" spans="1:1" ht="12.75" x14ac:dyDescent="0.2">
      <c r="A457" s="7"/>
    </row>
    <row r="458" spans="1:1" ht="12.75" x14ac:dyDescent="0.2">
      <c r="A458" s="7"/>
    </row>
    <row r="459" spans="1:1" ht="12.75" x14ac:dyDescent="0.2">
      <c r="A459" s="7"/>
    </row>
    <row r="460" spans="1:1" ht="12.75" x14ac:dyDescent="0.2">
      <c r="A460" s="7"/>
    </row>
    <row r="461" spans="1:1" ht="12.75" x14ac:dyDescent="0.2">
      <c r="A461" s="7"/>
    </row>
    <row r="462" spans="1:1" ht="12.75" x14ac:dyDescent="0.2">
      <c r="A462" s="7"/>
    </row>
    <row r="463" spans="1:1" ht="12.75" x14ac:dyDescent="0.2">
      <c r="A463" s="7"/>
    </row>
    <row r="464" spans="1:1" ht="12.75" x14ac:dyDescent="0.2">
      <c r="A464" s="7"/>
    </row>
    <row r="465" spans="1:1" ht="12.75" x14ac:dyDescent="0.2">
      <c r="A465" s="7"/>
    </row>
    <row r="466" spans="1:1" ht="12.75" x14ac:dyDescent="0.2">
      <c r="A466" s="7"/>
    </row>
    <row r="467" spans="1:1" ht="12.75" x14ac:dyDescent="0.2">
      <c r="A467" s="7"/>
    </row>
    <row r="468" spans="1:1" ht="12.75" x14ac:dyDescent="0.2">
      <c r="A468" s="7"/>
    </row>
    <row r="469" spans="1:1" ht="12.75" x14ac:dyDescent="0.2">
      <c r="A469" s="7"/>
    </row>
    <row r="470" spans="1:1" ht="12.75" x14ac:dyDescent="0.2">
      <c r="A470" s="7"/>
    </row>
    <row r="471" spans="1:1" ht="12.75" x14ac:dyDescent="0.2">
      <c r="A471" s="7"/>
    </row>
    <row r="472" spans="1:1" ht="12.75" x14ac:dyDescent="0.2">
      <c r="A472" s="7"/>
    </row>
    <row r="473" spans="1:1" ht="12.75" x14ac:dyDescent="0.2">
      <c r="A473" s="7"/>
    </row>
    <row r="474" spans="1:1" ht="12.75" x14ac:dyDescent="0.2">
      <c r="A474" s="7"/>
    </row>
    <row r="475" spans="1:1" ht="12.75" x14ac:dyDescent="0.2">
      <c r="A475" s="7"/>
    </row>
    <row r="476" spans="1:1" ht="12.75" x14ac:dyDescent="0.2">
      <c r="A476" s="7"/>
    </row>
    <row r="477" spans="1:1" ht="12.75" x14ac:dyDescent="0.2">
      <c r="A477" s="7"/>
    </row>
    <row r="478" spans="1:1" ht="12.75" x14ac:dyDescent="0.2">
      <c r="A478" s="7"/>
    </row>
    <row r="479" spans="1:1" ht="12.75" x14ac:dyDescent="0.2">
      <c r="A479" s="7"/>
    </row>
    <row r="480" spans="1:1" ht="12.75" x14ac:dyDescent="0.2">
      <c r="A480" s="7"/>
    </row>
    <row r="481" spans="1:1" ht="12.75" x14ac:dyDescent="0.2">
      <c r="A481" s="7"/>
    </row>
    <row r="482" spans="1:1" ht="12.75" x14ac:dyDescent="0.2">
      <c r="A482" s="7"/>
    </row>
    <row r="483" spans="1:1" ht="12.75" x14ac:dyDescent="0.2">
      <c r="A483" s="7"/>
    </row>
    <row r="484" spans="1:1" ht="12.75" x14ac:dyDescent="0.2">
      <c r="A484" s="7"/>
    </row>
    <row r="485" spans="1:1" ht="12.75" x14ac:dyDescent="0.2">
      <c r="A485" s="7"/>
    </row>
    <row r="486" spans="1:1" ht="12.75" x14ac:dyDescent="0.2">
      <c r="A486" s="7"/>
    </row>
    <row r="487" spans="1:1" ht="12.75" x14ac:dyDescent="0.2">
      <c r="A487" s="7"/>
    </row>
    <row r="488" spans="1:1" ht="12.75" x14ac:dyDescent="0.2">
      <c r="A488" s="7"/>
    </row>
    <row r="489" spans="1:1" ht="12.75" x14ac:dyDescent="0.2">
      <c r="A489" s="7"/>
    </row>
    <row r="490" spans="1:1" ht="12.75" x14ac:dyDescent="0.2">
      <c r="A490" s="7"/>
    </row>
    <row r="491" spans="1:1" ht="12.75" x14ac:dyDescent="0.2">
      <c r="A491" s="7"/>
    </row>
    <row r="492" spans="1:1" ht="12.75" x14ac:dyDescent="0.2">
      <c r="A492" s="7"/>
    </row>
    <row r="493" spans="1:1" ht="12.75" x14ac:dyDescent="0.2">
      <c r="A493" s="7"/>
    </row>
    <row r="494" spans="1:1" ht="12.75" x14ac:dyDescent="0.2">
      <c r="A494" s="7"/>
    </row>
    <row r="495" spans="1:1" ht="12.75" x14ac:dyDescent="0.2">
      <c r="A495" s="7"/>
    </row>
    <row r="496" spans="1:1" ht="12.75" x14ac:dyDescent="0.2">
      <c r="A496" s="7"/>
    </row>
    <row r="497" spans="1:1" ht="12.75" x14ac:dyDescent="0.2">
      <c r="A497" s="7"/>
    </row>
    <row r="498" spans="1:1" ht="12.75" x14ac:dyDescent="0.2">
      <c r="A498" s="7"/>
    </row>
    <row r="499" spans="1:1" ht="12.75" x14ac:dyDescent="0.2">
      <c r="A499" s="7"/>
    </row>
    <row r="500" spans="1:1" ht="12.75" x14ac:dyDescent="0.2">
      <c r="A500" s="7"/>
    </row>
    <row r="501" spans="1:1" ht="12.75" x14ac:dyDescent="0.2">
      <c r="A501" s="7"/>
    </row>
    <row r="502" spans="1:1" ht="12.75" x14ac:dyDescent="0.2">
      <c r="A502" s="7"/>
    </row>
    <row r="503" spans="1:1" ht="12.75" x14ac:dyDescent="0.2">
      <c r="A503" s="7"/>
    </row>
    <row r="504" spans="1:1" ht="12.75" x14ac:dyDescent="0.2">
      <c r="A504" s="7"/>
    </row>
    <row r="505" spans="1:1" ht="12.75" x14ac:dyDescent="0.2">
      <c r="A505" s="7"/>
    </row>
    <row r="506" spans="1:1" ht="12.75" x14ac:dyDescent="0.2">
      <c r="A506" s="7"/>
    </row>
    <row r="507" spans="1:1" ht="12.75" x14ac:dyDescent="0.2">
      <c r="A507" s="7"/>
    </row>
    <row r="508" spans="1:1" ht="12.75" x14ac:dyDescent="0.2">
      <c r="A508" s="7"/>
    </row>
    <row r="509" spans="1:1" ht="12.75" x14ac:dyDescent="0.2">
      <c r="A509" s="7"/>
    </row>
    <row r="510" spans="1:1" ht="12.75" x14ac:dyDescent="0.2">
      <c r="A510" s="7"/>
    </row>
    <row r="511" spans="1:1" ht="12.75" x14ac:dyDescent="0.2">
      <c r="A511" s="7"/>
    </row>
    <row r="512" spans="1:1" ht="12.75" x14ac:dyDescent="0.2">
      <c r="A512" s="7"/>
    </row>
    <row r="513" spans="1:1" ht="12.75" x14ac:dyDescent="0.2">
      <c r="A513" s="7"/>
    </row>
    <row r="514" spans="1:1" ht="12.75" x14ac:dyDescent="0.2">
      <c r="A514" s="7"/>
    </row>
    <row r="515" spans="1:1" ht="12.75" x14ac:dyDescent="0.2">
      <c r="A515" s="7"/>
    </row>
    <row r="516" spans="1:1" ht="12.75" x14ac:dyDescent="0.2">
      <c r="A516" s="7"/>
    </row>
    <row r="517" spans="1:1" ht="12.75" x14ac:dyDescent="0.2">
      <c r="A517" s="7"/>
    </row>
    <row r="518" spans="1:1" ht="12.75" x14ac:dyDescent="0.2">
      <c r="A518" s="7"/>
    </row>
    <row r="519" spans="1:1" ht="12.75" x14ac:dyDescent="0.2">
      <c r="A519" s="7"/>
    </row>
    <row r="520" spans="1:1" ht="12.75" x14ac:dyDescent="0.2">
      <c r="A520" s="7"/>
    </row>
    <row r="521" spans="1:1" ht="12.75" x14ac:dyDescent="0.2">
      <c r="A521" s="7"/>
    </row>
    <row r="522" spans="1:1" ht="12.75" x14ac:dyDescent="0.2">
      <c r="A522" s="7"/>
    </row>
    <row r="523" spans="1:1" ht="12.75" x14ac:dyDescent="0.2">
      <c r="A523" s="7"/>
    </row>
    <row r="524" spans="1:1" ht="12.75" x14ac:dyDescent="0.2">
      <c r="A524" s="7"/>
    </row>
    <row r="525" spans="1:1" ht="12.75" x14ac:dyDescent="0.2">
      <c r="A525" s="7"/>
    </row>
    <row r="526" spans="1:1" ht="12.75" x14ac:dyDescent="0.2">
      <c r="A526" s="7"/>
    </row>
    <row r="527" spans="1:1" ht="12.75" x14ac:dyDescent="0.2">
      <c r="A527" s="7"/>
    </row>
    <row r="528" spans="1:1" ht="12.75" x14ac:dyDescent="0.2">
      <c r="A528" s="7"/>
    </row>
    <row r="529" spans="1:1" ht="12.75" x14ac:dyDescent="0.2">
      <c r="A529" s="7"/>
    </row>
    <row r="530" spans="1:1" ht="12.75" x14ac:dyDescent="0.2">
      <c r="A530" s="7"/>
    </row>
    <row r="531" spans="1:1" ht="12.75" x14ac:dyDescent="0.2">
      <c r="A531" s="7"/>
    </row>
    <row r="532" spans="1:1" ht="12.75" x14ac:dyDescent="0.2">
      <c r="A532" s="7"/>
    </row>
    <row r="533" spans="1:1" ht="12.75" x14ac:dyDescent="0.2">
      <c r="A533" s="7"/>
    </row>
    <row r="534" spans="1:1" ht="12.75" x14ac:dyDescent="0.2">
      <c r="A534" s="7"/>
    </row>
    <row r="535" spans="1:1" ht="12.75" x14ac:dyDescent="0.2">
      <c r="A535" s="7"/>
    </row>
    <row r="536" spans="1:1" ht="12.75" x14ac:dyDescent="0.2">
      <c r="A536" s="7"/>
    </row>
    <row r="537" spans="1:1" ht="12.75" x14ac:dyDescent="0.2">
      <c r="A537" s="7"/>
    </row>
    <row r="538" spans="1:1" ht="12.75" x14ac:dyDescent="0.2">
      <c r="A538" s="7"/>
    </row>
    <row r="539" spans="1:1" ht="12.75" x14ac:dyDescent="0.2">
      <c r="A539" s="7"/>
    </row>
    <row r="540" spans="1:1" ht="12.75" x14ac:dyDescent="0.2">
      <c r="A540" s="7"/>
    </row>
    <row r="541" spans="1:1" ht="12.75" x14ac:dyDescent="0.2">
      <c r="A541" s="7"/>
    </row>
    <row r="542" spans="1:1" ht="12.75" x14ac:dyDescent="0.2">
      <c r="A542" s="7"/>
    </row>
    <row r="543" spans="1:1" ht="12.75" x14ac:dyDescent="0.2">
      <c r="A543" s="7"/>
    </row>
    <row r="544" spans="1:1" ht="12.75" x14ac:dyDescent="0.2">
      <c r="A544" s="7"/>
    </row>
    <row r="545" spans="1:1" ht="12.75" x14ac:dyDescent="0.2">
      <c r="A545" s="7"/>
    </row>
    <row r="546" spans="1:1" ht="12.75" x14ac:dyDescent="0.2">
      <c r="A546" s="7"/>
    </row>
    <row r="547" spans="1:1" ht="12.75" x14ac:dyDescent="0.2">
      <c r="A547" s="7"/>
    </row>
    <row r="548" spans="1:1" ht="12.75" x14ac:dyDescent="0.2">
      <c r="A548" s="7"/>
    </row>
    <row r="549" spans="1:1" ht="12.75" x14ac:dyDescent="0.2">
      <c r="A549" s="7"/>
    </row>
    <row r="550" spans="1:1" ht="12.75" x14ac:dyDescent="0.2">
      <c r="A550" s="7"/>
    </row>
    <row r="551" spans="1:1" ht="12.75" x14ac:dyDescent="0.2">
      <c r="A551" s="7"/>
    </row>
    <row r="552" spans="1:1" ht="12.75" x14ac:dyDescent="0.2">
      <c r="A552" s="7"/>
    </row>
    <row r="553" spans="1:1" ht="12.75" x14ac:dyDescent="0.2">
      <c r="A553" s="7"/>
    </row>
    <row r="554" spans="1:1" ht="12.75" x14ac:dyDescent="0.2">
      <c r="A554" s="7"/>
    </row>
    <row r="555" spans="1:1" ht="12.75" x14ac:dyDescent="0.2">
      <c r="A555" s="7"/>
    </row>
    <row r="556" spans="1:1" ht="12.75" x14ac:dyDescent="0.2">
      <c r="A556" s="7"/>
    </row>
    <row r="557" spans="1:1" ht="12.75" x14ac:dyDescent="0.2">
      <c r="A557" s="7"/>
    </row>
    <row r="558" spans="1:1" ht="12.75" x14ac:dyDescent="0.2">
      <c r="A558" s="7"/>
    </row>
    <row r="559" spans="1:1" ht="12.75" x14ac:dyDescent="0.2">
      <c r="A559" s="7"/>
    </row>
    <row r="560" spans="1:1" ht="12.75" x14ac:dyDescent="0.2">
      <c r="A560" s="7"/>
    </row>
    <row r="561" spans="1:1" ht="12.75" x14ac:dyDescent="0.2">
      <c r="A561" s="7"/>
    </row>
    <row r="562" spans="1:1" ht="12.75" x14ac:dyDescent="0.2">
      <c r="A562" s="7"/>
    </row>
    <row r="563" spans="1:1" ht="12.75" x14ac:dyDescent="0.2">
      <c r="A563" s="7"/>
    </row>
    <row r="564" spans="1:1" ht="12.75" x14ac:dyDescent="0.2">
      <c r="A564" s="7"/>
    </row>
    <row r="565" spans="1:1" ht="12.75" x14ac:dyDescent="0.2">
      <c r="A565" s="7"/>
    </row>
    <row r="566" spans="1:1" ht="12.75" x14ac:dyDescent="0.2">
      <c r="A566" s="7"/>
    </row>
    <row r="567" spans="1:1" ht="12.75" x14ac:dyDescent="0.2">
      <c r="A567" s="7"/>
    </row>
    <row r="568" spans="1:1" ht="12.75" x14ac:dyDescent="0.2">
      <c r="A568" s="7"/>
    </row>
    <row r="569" spans="1:1" ht="12.75" x14ac:dyDescent="0.2">
      <c r="A569" s="7"/>
    </row>
    <row r="570" spans="1:1" ht="12.75" x14ac:dyDescent="0.2">
      <c r="A570" s="7"/>
    </row>
    <row r="571" spans="1:1" ht="12.75" x14ac:dyDescent="0.2">
      <c r="A571" s="7"/>
    </row>
    <row r="572" spans="1:1" ht="12.75" x14ac:dyDescent="0.2">
      <c r="A572" s="7"/>
    </row>
    <row r="573" spans="1:1" ht="12.75" x14ac:dyDescent="0.2">
      <c r="A573" s="7"/>
    </row>
    <row r="574" spans="1:1" ht="12.75" x14ac:dyDescent="0.2">
      <c r="A574" s="7"/>
    </row>
    <row r="575" spans="1:1" ht="12.75" x14ac:dyDescent="0.2">
      <c r="A575" s="7"/>
    </row>
    <row r="576" spans="1:1" ht="12.75" x14ac:dyDescent="0.2">
      <c r="A576" s="7"/>
    </row>
    <row r="577" spans="1:1" ht="12.75" x14ac:dyDescent="0.2">
      <c r="A577" s="7"/>
    </row>
    <row r="578" spans="1:1" ht="12.75" x14ac:dyDescent="0.2">
      <c r="A578" s="7"/>
    </row>
    <row r="579" spans="1:1" ht="12.75" x14ac:dyDescent="0.2">
      <c r="A579" s="7"/>
    </row>
    <row r="580" spans="1:1" ht="12.75" x14ac:dyDescent="0.2">
      <c r="A580" s="7"/>
    </row>
    <row r="581" spans="1:1" ht="12.75" x14ac:dyDescent="0.2">
      <c r="A581" s="7"/>
    </row>
    <row r="582" spans="1:1" ht="12.75" x14ac:dyDescent="0.2">
      <c r="A582" s="7"/>
    </row>
    <row r="583" spans="1:1" ht="12.75" x14ac:dyDescent="0.2">
      <c r="A583" s="7"/>
    </row>
    <row r="584" spans="1:1" ht="12.75" x14ac:dyDescent="0.2">
      <c r="A584" s="7"/>
    </row>
    <row r="585" spans="1:1" ht="12.75" x14ac:dyDescent="0.2">
      <c r="A585" s="7"/>
    </row>
    <row r="586" spans="1:1" ht="12.75" x14ac:dyDescent="0.2">
      <c r="A586" s="7"/>
    </row>
    <row r="587" spans="1:1" ht="12.75" x14ac:dyDescent="0.2">
      <c r="A587" s="7"/>
    </row>
    <row r="588" spans="1:1" ht="12.75" x14ac:dyDescent="0.2">
      <c r="A588" s="7"/>
    </row>
    <row r="589" spans="1:1" ht="12.75" x14ac:dyDescent="0.2">
      <c r="A589" s="7"/>
    </row>
    <row r="590" spans="1:1" ht="12.75" x14ac:dyDescent="0.2">
      <c r="A590" s="7"/>
    </row>
    <row r="591" spans="1:1" ht="12.75" x14ac:dyDescent="0.2">
      <c r="A591" s="7"/>
    </row>
    <row r="592" spans="1:1" ht="12.75" x14ac:dyDescent="0.2">
      <c r="A592" s="7"/>
    </row>
    <row r="593" spans="1:1" ht="12.75" x14ac:dyDescent="0.2">
      <c r="A593" s="7"/>
    </row>
    <row r="594" spans="1:1" ht="12.75" x14ac:dyDescent="0.2">
      <c r="A594" s="7"/>
    </row>
    <row r="595" spans="1:1" ht="12.75" x14ac:dyDescent="0.2">
      <c r="A595" s="7"/>
    </row>
    <row r="596" spans="1:1" ht="12.75" x14ac:dyDescent="0.2">
      <c r="A596" s="7"/>
    </row>
    <row r="597" spans="1:1" ht="12.75" x14ac:dyDescent="0.2">
      <c r="A597" s="7"/>
    </row>
    <row r="598" spans="1:1" ht="12.75" x14ac:dyDescent="0.2">
      <c r="A598" s="7"/>
    </row>
    <row r="599" spans="1:1" ht="12.75" x14ac:dyDescent="0.2">
      <c r="A599" s="7"/>
    </row>
    <row r="600" spans="1:1" ht="12.75" x14ac:dyDescent="0.2">
      <c r="A600" s="7"/>
    </row>
    <row r="601" spans="1:1" ht="12.75" x14ac:dyDescent="0.2">
      <c r="A601" s="7"/>
    </row>
    <row r="602" spans="1:1" ht="12.75" x14ac:dyDescent="0.2">
      <c r="A602" s="7"/>
    </row>
    <row r="603" spans="1:1" ht="12.75" x14ac:dyDescent="0.2">
      <c r="A603" s="7"/>
    </row>
    <row r="604" spans="1:1" ht="12.75" x14ac:dyDescent="0.2">
      <c r="A604" s="7"/>
    </row>
    <row r="605" spans="1:1" ht="12.75" x14ac:dyDescent="0.2">
      <c r="A605" s="7"/>
    </row>
    <row r="606" spans="1:1" ht="12.75" x14ac:dyDescent="0.2">
      <c r="A606" s="7"/>
    </row>
    <row r="607" spans="1:1" ht="12.75" x14ac:dyDescent="0.2">
      <c r="A607" s="7"/>
    </row>
    <row r="608" spans="1:1" ht="12.75" x14ac:dyDescent="0.2">
      <c r="A608" s="7"/>
    </row>
    <row r="609" spans="1:1" ht="12.75" x14ac:dyDescent="0.2">
      <c r="A609" s="7"/>
    </row>
    <row r="610" spans="1:1" ht="12.75" x14ac:dyDescent="0.2">
      <c r="A610" s="7"/>
    </row>
    <row r="611" spans="1:1" ht="12.75" x14ac:dyDescent="0.2">
      <c r="A611" s="7"/>
    </row>
    <row r="612" spans="1:1" ht="12.75" x14ac:dyDescent="0.2">
      <c r="A612" s="7"/>
    </row>
    <row r="613" spans="1:1" ht="12.75" x14ac:dyDescent="0.2">
      <c r="A613" s="7"/>
    </row>
    <row r="614" spans="1:1" ht="12.75" x14ac:dyDescent="0.2">
      <c r="A614" s="7"/>
    </row>
    <row r="615" spans="1:1" ht="12.75" x14ac:dyDescent="0.2">
      <c r="A615" s="7"/>
    </row>
    <row r="616" spans="1:1" ht="12.75" x14ac:dyDescent="0.2">
      <c r="A616" s="7"/>
    </row>
    <row r="617" spans="1:1" ht="12.75" x14ac:dyDescent="0.2">
      <c r="A617" s="7"/>
    </row>
    <row r="618" spans="1:1" ht="12.75" x14ac:dyDescent="0.2">
      <c r="A618" s="7"/>
    </row>
    <row r="619" spans="1:1" ht="12.75" x14ac:dyDescent="0.2">
      <c r="A619" s="7"/>
    </row>
    <row r="620" spans="1:1" ht="12.75" x14ac:dyDescent="0.2">
      <c r="A620" s="7"/>
    </row>
    <row r="621" spans="1:1" ht="12.75" x14ac:dyDescent="0.2">
      <c r="A621" s="7"/>
    </row>
    <row r="622" spans="1:1" ht="12.75" x14ac:dyDescent="0.2">
      <c r="A622" s="7"/>
    </row>
    <row r="623" spans="1:1" ht="12.75" x14ac:dyDescent="0.2">
      <c r="A623" s="7"/>
    </row>
    <row r="624" spans="1:1" ht="12.75" x14ac:dyDescent="0.2">
      <c r="A624" s="7"/>
    </row>
    <row r="625" spans="1:1" ht="12.75" x14ac:dyDescent="0.2">
      <c r="A625" s="7"/>
    </row>
    <row r="626" spans="1:1" ht="12.75" x14ac:dyDescent="0.2">
      <c r="A626" s="7"/>
    </row>
    <row r="627" spans="1:1" ht="12.75" x14ac:dyDescent="0.2">
      <c r="A627" s="7"/>
    </row>
    <row r="628" spans="1:1" ht="12.75" x14ac:dyDescent="0.2">
      <c r="A628" s="7"/>
    </row>
    <row r="629" spans="1:1" ht="12.75" x14ac:dyDescent="0.2">
      <c r="A629" s="7"/>
    </row>
    <row r="630" spans="1:1" ht="12.75" x14ac:dyDescent="0.2">
      <c r="A630" s="7"/>
    </row>
    <row r="631" spans="1:1" ht="12.75" x14ac:dyDescent="0.2">
      <c r="A631" s="7"/>
    </row>
    <row r="632" spans="1:1" ht="12.75" x14ac:dyDescent="0.2">
      <c r="A632" s="7"/>
    </row>
    <row r="633" spans="1:1" ht="12.75" x14ac:dyDescent="0.2">
      <c r="A633" s="7"/>
    </row>
    <row r="634" spans="1:1" ht="12.75" x14ac:dyDescent="0.2">
      <c r="A634" s="7"/>
    </row>
    <row r="635" spans="1:1" ht="12.75" x14ac:dyDescent="0.2">
      <c r="A635" s="7"/>
    </row>
    <row r="636" spans="1:1" ht="12.75" x14ac:dyDescent="0.2">
      <c r="A636" s="7"/>
    </row>
    <row r="637" spans="1:1" ht="12.75" x14ac:dyDescent="0.2">
      <c r="A637" s="7"/>
    </row>
    <row r="638" spans="1:1" ht="12.75" x14ac:dyDescent="0.2">
      <c r="A638" s="7"/>
    </row>
    <row r="639" spans="1:1" ht="12.75" x14ac:dyDescent="0.2">
      <c r="A639" s="7"/>
    </row>
    <row r="640" spans="1:1" ht="12.75" x14ac:dyDescent="0.2">
      <c r="A640" s="7"/>
    </row>
    <row r="641" spans="1:1" ht="12.75" x14ac:dyDescent="0.2">
      <c r="A641" s="7"/>
    </row>
    <row r="642" spans="1:1" ht="12.75" x14ac:dyDescent="0.2">
      <c r="A642" s="7"/>
    </row>
    <row r="643" spans="1:1" ht="12.75" x14ac:dyDescent="0.2">
      <c r="A643" s="7"/>
    </row>
    <row r="644" spans="1:1" ht="12.75" x14ac:dyDescent="0.2">
      <c r="A644" s="7"/>
    </row>
    <row r="645" spans="1:1" ht="12.75" x14ac:dyDescent="0.2">
      <c r="A645" s="7"/>
    </row>
    <row r="646" spans="1:1" ht="12.75" x14ac:dyDescent="0.2">
      <c r="A646" s="7"/>
    </row>
    <row r="647" spans="1:1" ht="12.75" x14ac:dyDescent="0.2">
      <c r="A647" s="7"/>
    </row>
    <row r="648" spans="1:1" ht="12.75" x14ac:dyDescent="0.2">
      <c r="A648" s="7"/>
    </row>
    <row r="649" spans="1:1" ht="12.75" x14ac:dyDescent="0.2">
      <c r="A649" s="7"/>
    </row>
    <row r="650" spans="1:1" ht="12.75" x14ac:dyDescent="0.2">
      <c r="A650" s="7"/>
    </row>
    <row r="651" spans="1:1" ht="12.75" x14ac:dyDescent="0.2">
      <c r="A651" s="7"/>
    </row>
    <row r="652" spans="1:1" ht="12.75" x14ac:dyDescent="0.2">
      <c r="A652" s="7"/>
    </row>
    <row r="653" spans="1:1" ht="12.75" x14ac:dyDescent="0.2">
      <c r="A653" s="7"/>
    </row>
    <row r="654" spans="1:1" ht="12.75" x14ac:dyDescent="0.2">
      <c r="A654" s="7"/>
    </row>
    <row r="655" spans="1:1" ht="12.75" x14ac:dyDescent="0.2">
      <c r="A655" s="7"/>
    </row>
    <row r="656" spans="1:1" ht="12.75" x14ac:dyDescent="0.2">
      <c r="A656" s="7"/>
    </row>
    <row r="657" spans="1:1" ht="12.75" x14ac:dyDescent="0.2">
      <c r="A657" s="7"/>
    </row>
    <row r="658" spans="1:1" ht="12.75" x14ac:dyDescent="0.2">
      <c r="A658" s="7"/>
    </row>
    <row r="659" spans="1:1" ht="12.75" x14ac:dyDescent="0.2">
      <c r="A659" s="7"/>
    </row>
    <row r="660" spans="1:1" ht="12.75" x14ac:dyDescent="0.2">
      <c r="A660" s="7"/>
    </row>
    <row r="661" spans="1:1" ht="12.75" x14ac:dyDescent="0.2">
      <c r="A661" s="7"/>
    </row>
    <row r="662" spans="1:1" ht="12.75" x14ac:dyDescent="0.2">
      <c r="A662" s="7"/>
    </row>
    <row r="663" spans="1:1" ht="12.75" x14ac:dyDescent="0.2">
      <c r="A663" s="7"/>
    </row>
    <row r="664" spans="1:1" ht="12.75" x14ac:dyDescent="0.2">
      <c r="A664" s="7"/>
    </row>
    <row r="665" spans="1:1" ht="12.75" x14ac:dyDescent="0.2">
      <c r="A665" s="7"/>
    </row>
    <row r="666" spans="1:1" ht="12.75" x14ac:dyDescent="0.2">
      <c r="A666" s="7"/>
    </row>
    <row r="667" spans="1:1" ht="12.75" x14ac:dyDescent="0.2">
      <c r="A667" s="7"/>
    </row>
    <row r="668" spans="1:1" ht="12.75" x14ac:dyDescent="0.2">
      <c r="A668" s="7"/>
    </row>
    <row r="669" spans="1:1" ht="12.75" x14ac:dyDescent="0.2">
      <c r="A669" s="7"/>
    </row>
    <row r="670" spans="1:1" ht="12.75" x14ac:dyDescent="0.2">
      <c r="A670" s="7"/>
    </row>
    <row r="671" spans="1:1" ht="12.75" x14ac:dyDescent="0.2">
      <c r="A671" s="7"/>
    </row>
    <row r="672" spans="1:1" ht="12.75" x14ac:dyDescent="0.2">
      <c r="A672" s="7"/>
    </row>
    <row r="673" spans="1:1" ht="12.75" x14ac:dyDescent="0.2">
      <c r="A673" s="7"/>
    </row>
    <row r="674" spans="1:1" ht="12.75" x14ac:dyDescent="0.2">
      <c r="A674" s="7"/>
    </row>
    <row r="675" spans="1:1" ht="12.75" x14ac:dyDescent="0.2">
      <c r="A675" s="7"/>
    </row>
    <row r="676" spans="1:1" ht="12.75" x14ac:dyDescent="0.2">
      <c r="A676" s="7"/>
    </row>
    <row r="677" spans="1:1" ht="12.75" x14ac:dyDescent="0.2">
      <c r="A677" s="7"/>
    </row>
    <row r="678" spans="1:1" ht="12.75" x14ac:dyDescent="0.2">
      <c r="A678" s="7"/>
    </row>
    <row r="679" spans="1:1" ht="12.75" x14ac:dyDescent="0.2">
      <c r="A679" s="7"/>
    </row>
    <row r="680" spans="1:1" ht="12.75" x14ac:dyDescent="0.2">
      <c r="A680" s="7"/>
    </row>
    <row r="681" spans="1:1" ht="12.75" x14ac:dyDescent="0.2">
      <c r="A681" s="7"/>
    </row>
    <row r="682" spans="1:1" ht="12.75" x14ac:dyDescent="0.2">
      <c r="A682" s="7"/>
    </row>
    <row r="683" spans="1:1" ht="12.75" x14ac:dyDescent="0.2">
      <c r="A683" s="7"/>
    </row>
    <row r="684" spans="1:1" ht="12.75" x14ac:dyDescent="0.2">
      <c r="A684" s="7"/>
    </row>
    <row r="685" spans="1:1" ht="12.75" x14ac:dyDescent="0.2">
      <c r="A685" s="7"/>
    </row>
    <row r="686" spans="1:1" ht="12.75" x14ac:dyDescent="0.2">
      <c r="A686" s="7"/>
    </row>
    <row r="687" spans="1:1" ht="12.75" x14ac:dyDescent="0.2">
      <c r="A687" s="7"/>
    </row>
    <row r="688" spans="1:1" ht="12.75" x14ac:dyDescent="0.2">
      <c r="A688" s="7"/>
    </row>
    <row r="689" spans="1:1" ht="12.75" x14ac:dyDescent="0.2">
      <c r="A689" s="7"/>
    </row>
    <row r="690" spans="1:1" ht="12.75" x14ac:dyDescent="0.2">
      <c r="A690" s="7"/>
    </row>
    <row r="691" spans="1:1" ht="12.75" x14ac:dyDescent="0.2">
      <c r="A691" s="7"/>
    </row>
    <row r="692" spans="1:1" ht="12.75" x14ac:dyDescent="0.2">
      <c r="A692" s="7"/>
    </row>
    <row r="693" spans="1:1" ht="12.75" x14ac:dyDescent="0.2">
      <c r="A693" s="7"/>
    </row>
    <row r="694" spans="1:1" ht="12.75" x14ac:dyDescent="0.2">
      <c r="A694" s="7"/>
    </row>
    <row r="695" spans="1:1" ht="12.75" x14ac:dyDescent="0.2">
      <c r="A695" s="7"/>
    </row>
    <row r="696" spans="1:1" ht="12.75" x14ac:dyDescent="0.2">
      <c r="A696" s="7"/>
    </row>
    <row r="697" spans="1:1" ht="12.75" x14ac:dyDescent="0.2">
      <c r="A697" s="7"/>
    </row>
    <row r="698" spans="1:1" ht="12.75" x14ac:dyDescent="0.2">
      <c r="A698" s="7"/>
    </row>
    <row r="699" spans="1:1" ht="12.75" x14ac:dyDescent="0.2">
      <c r="A699" s="7"/>
    </row>
    <row r="700" spans="1:1" ht="12.75" x14ac:dyDescent="0.2">
      <c r="A700" s="7"/>
    </row>
    <row r="701" spans="1:1" ht="12.75" x14ac:dyDescent="0.2">
      <c r="A701" s="7"/>
    </row>
    <row r="702" spans="1:1" ht="12.75" x14ac:dyDescent="0.2">
      <c r="A702" s="7"/>
    </row>
    <row r="703" spans="1:1" ht="12.75" x14ac:dyDescent="0.2">
      <c r="A703" s="7"/>
    </row>
    <row r="704" spans="1:1" ht="12.75" x14ac:dyDescent="0.2">
      <c r="A704" s="7"/>
    </row>
    <row r="705" spans="1:1" ht="12.75" x14ac:dyDescent="0.2">
      <c r="A705" s="7"/>
    </row>
    <row r="706" spans="1:1" ht="12.75" x14ac:dyDescent="0.2">
      <c r="A706" s="7"/>
    </row>
    <row r="707" spans="1:1" ht="12.75" x14ac:dyDescent="0.2">
      <c r="A707" s="7"/>
    </row>
    <row r="708" spans="1:1" ht="12.75" x14ac:dyDescent="0.2">
      <c r="A708" s="7"/>
    </row>
    <row r="709" spans="1:1" ht="12.75" x14ac:dyDescent="0.2">
      <c r="A709" s="7"/>
    </row>
    <row r="710" spans="1:1" ht="12.75" x14ac:dyDescent="0.2">
      <c r="A710" s="7"/>
    </row>
    <row r="711" spans="1:1" ht="12.75" x14ac:dyDescent="0.2">
      <c r="A711" s="7"/>
    </row>
    <row r="712" spans="1:1" ht="12.75" x14ac:dyDescent="0.2">
      <c r="A712" s="7"/>
    </row>
    <row r="713" spans="1:1" ht="12.75" x14ac:dyDescent="0.2">
      <c r="A713" s="7"/>
    </row>
    <row r="714" spans="1:1" ht="12.75" x14ac:dyDescent="0.2">
      <c r="A714" s="7"/>
    </row>
    <row r="715" spans="1:1" ht="12.75" x14ac:dyDescent="0.2">
      <c r="A715" s="7"/>
    </row>
    <row r="716" spans="1:1" ht="12.75" x14ac:dyDescent="0.2">
      <c r="A716" s="7"/>
    </row>
    <row r="717" spans="1:1" ht="12.75" x14ac:dyDescent="0.2">
      <c r="A717" s="7"/>
    </row>
    <row r="718" spans="1:1" ht="12.75" x14ac:dyDescent="0.2">
      <c r="A718" s="7"/>
    </row>
    <row r="719" spans="1:1" ht="12.75" x14ac:dyDescent="0.2">
      <c r="A719" s="7"/>
    </row>
    <row r="720" spans="1:1" ht="12.75" x14ac:dyDescent="0.2">
      <c r="A720" s="7"/>
    </row>
    <row r="721" spans="1:1" ht="12.75" x14ac:dyDescent="0.2">
      <c r="A721" s="7"/>
    </row>
    <row r="722" spans="1:1" ht="12.75" x14ac:dyDescent="0.2">
      <c r="A722" s="7"/>
    </row>
    <row r="723" spans="1:1" ht="12.75" x14ac:dyDescent="0.2">
      <c r="A723" s="7"/>
    </row>
    <row r="724" spans="1:1" ht="12.75" x14ac:dyDescent="0.2">
      <c r="A724" s="7"/>
    </row>
    <row r="725" spans="1:1" ht="12.75" x14ac:dyDescent="0.2">
      <c r="A725" s="7"/>
    </row>
    <row r="726" spans="1:1" ht="12.75" x14ac:dyDescent="0.2">
      <c r="A726" s="7"/>
    </row>
    <row r="727" spans="1:1" ht="12.75" x14ac:dyDescent="0.2">
      <c r="A727" s="7"/>
    </row>
    <row r="728" spans="1:1" ht="12.75" x14ac:dyDescent="0.2">
      <c r="A728" s="7"/>
    </row>
    <row r="729" spans="1:1" ht="12.75" x14ac:dyDescent="0.2">
      <c r="A729" s="7"/>
    </row>
    <row r="730" spans="1:1" ht="12.75" x14ac:dyDescent="0.2">
      <c r="A730" s="7"/>
    </row>
    <row r="731" spans="1:1" ht="12.75" x14ac:dyDescent="0.2">
      <c r="A731" s="7"/>
    </row>
    <row r="732" spans="1:1" ht="12.75" x14ac:dyDescent="0.2">
      <c r="A732" s="7"/>
    </row>
    <row r="733" spans="1:1" ht="12.75" x14ac:dyDescent="0.2">
      <c r="A733" s="7"/>
    </row>
    <row r="734" spans="1:1" ht="12.75" x14ac:dyDescent="0.2">
      <c r="A734" s="7"/>
    </row>
    <row r="735" spans="1:1" ht="12.75" x14ac:dyDescent="0.2">
      <c r="A735" s="7"/>
    </row>
    <row r="736" spans="1:1" ht="12.75" x14ac:dyDescent="0.2">
      <c r="A736" s="7"/>
    </row>
    <row r="737" spans="1:1" ht="12.75" x14ac:dyDescent="0.2">
      <c r="A737" s="7"/>
    </row>
    <row r="738" spans="1:1" ht="12.75" x14ac:dyDescent="0.2">
      <c r="A738" s="7"/>
    </row>
    <row r="739" spans="1:1" ht="12.75" x14ac:dyDescent="0.2">
      <c r="A739" s="7"/>
    </row>
    <row r="740" spans="1:1" ht="12.75" x14ac:dyDescent="0.2">
      <c r="A740" s="7"/>
    </row>
    <row r="741" spans="1:1" ht="12.75" x14ac:dyDescent="0.2">
      <c r="A741" s="7"/>
    </row>
    <row r="742" spans="1:1" ht="12.75" x14ac:dyDescent="0.2">
      <c r="A742" s="7"/>
    </row>
    <row r="743" spans="1:1" ht="12.75" x14ac:dyDescent="0.2">
      <c r="A743" s="7"/>
    </row>
    <row r="744" spans="1:1" ht="12.75" x14ac:dyDescent="0.2">
      <c r="A744" s="7"/>
    </row>
    <row r="745" spans="1:1" ht="12.75" x14ac:dyDescent="0.2">
      <c r="A745" s="7"/>
    </row>
    <row r="746" spans="1:1" ht="12.75" x14ac:dyDescent="0.2">
      <c r="A746" s="7"/>
    </row>
    <row r="747" spans="1:1" ht="12.75" x14ac:dyDescent="0.2">
      <c r="A747" s="7"/>
    </row>
    <row r="748" spans="1:1" ht="12.75" x14ac:dyDescent="0.2">
      <c r="A748" s="7"/>
    </row>
    <row r="749" spans="1:1" ht="12.75" x14ac:dyDescent="0.2">
      <c r="A749" s="7"/>
    </row>
    <row r="750" spans="1:1" ht="12.75" x14ac:dyDescent="0.2">
      <c r="A750" s="7"/>
    </row>
    <row r="751" spans="1:1" ht="12.75" x14ac:dyDescent="0.2">
      <c r="A751" s="7"/>
    </row>
    <row r="752" spans="1:1" ht="12.75" x14ac:dyDescent="0.2">
      <c r="A752" s="7"/>
    </row>
    <row r="753" spans="1:1" ht="12.75" x14ac:dyDescent="0.2">
      <c r="A753" s="7"/>
    </row>
    <row r="754" spans="1:1" ht="12.75" x14ac:dyDescent="0.2">
      <c r="A754" s="7"/>
    </row>
    <row r="755" spans="1:1" ht="12.75" x14ac:dyDescent="0.2">
      <c r="A755" s="7"/>
    </row>
    <row r="756" spans="1:1" ht="12.75" x14ac:dyDescent="0.2">
      <c r="A756" s="7"/>
    </row>
    <row r="757" spans="1:1" ht="12.75" x14ac:dyDescent="0.2">
      <c r="A757" s="7"/>
    </row>
    <row r="758" spans="1:1" ht="12.75" x14ac:dyDescent="0.2">
      <c r="A758" s="7"/>
    </row>
    <row r="759" spans="1:1" ht="12.75" x14ac:dyDescent="0.2">
      <c r="A759" s="7"/>
    </row>
    <row r="760" spans="1:1" ht="12.75" x14ac:dyDescent="0.2">
      <c r="A760" s="7"/>
    </row>
    <row r="761" spans="1:1" ht="12.75" x14ac:dyDescent="0.2">
      <c r="A761" s="7"/>
    </row>
    <row r="762" spans="1:1" ht="12.75" x14ac:dyDescent="0.2">
      <c r="A762" s="7"/>
    </row>
    <row r="763" spans="1:1" ht="12.75" x14ac:dyDescent="0.2">
      <c r="A763" s="7"/>
    </row>
    <row r="764" spans="1:1" ht="12.75" x14ac:dyDescent="0.2">
      <c r="A764" s="7"/>
    </row>
    <row r="765" spans="1:1" ht="12.75" x14ac:dyDescent="0.2">
      <c r="A765" s="7"/>
    </row>
    <row r="766" spans="1:1" ht="12.75" x14ac:dyDescent="0.2">
      <c r="A766" s="7"/>
    </row>
    <row r="767" spans="1:1" ht="12.75" x14ac:dyDescent="0.2">
      <c r="A767" s="7"/>
    </row>
    <row r="768" spans="1:1" ht="12.75" x14ac:dyDescent="0.2">
      <c r="A768" s="7"/>
    </row>
    <row r="769" spans="1:1" ht="12.75" x14ac:dyDescent="0.2">
      <c r="A769" s="7"/>
    </row>
    <row r="770" spans="1:1" ht="12.75" x14ac:dyDescent="0.2">
      <c r="A770" s="7"/>
    </row>
    <row r="771" spans="1:1" ht="12.75" x14ac:dyDescent="0.2">
      <c r="A771" s="7"/>
    </row>
    <row r="772" spans="1:1" ht="12.75" x14ac:dyDescent="0.2">
      <c r="A772" s="7"/>
    </row>
    <row r="773" spans="1:1" ht="12.75" x14ac:dyDescent="0.2">
      <c r="A773" s="7"/>
    </row>
    <row r="774" spans="1:1" ht="12.75" x14ac:dyDescent="0.2">
      <c r="A774" s="7"/>
    </row>
    <row r="775" spans="1:1" ht="12.75" x14ac:dyDescent="0.2">
      <c r="A775" s="7"/>
    </row>
    <row r="776" spans="1:1" ht="12.75" x14ac:dyDescent="0.2">
      <c r="A776" s="7"/>
    </row>
    <row r="777" spans="1:1" ht="12.75" x14ac:dyDescent="0.2">
      <c r="A777" s="7"/>
    </row>
    <row r="778" spans="1:1" ht="12.75" x14ac:dyDescent="0.2">
      <c r="A778" s="7"/>
    </row>
    <row r="779" spans="1:1" ht="12.75" x14ac:dyDescent="0.2">
      <c r="A779" s="7"/>
    </row>
    <row r="780" spans="1:1" ht="12.75" x14ac:dyDescent="0.2">
      <c r="A780" s="7"/>
    </row>
    <row r="781" spans="1:1" ht="12.75" x14ac:dyDescent="0.2">
      <c r="A781" s="7"/>
    </row>
    <row r="782" spans="1:1" ht="12.75" x14ac:dyDescent="0.2">
      <c r="A782" s="7"/>
    </row>
    <row r="783" spans="1:1" ht="12.75" x14ac:dyDescent="0.2">
      <c r="A783" s="7"/>
    </row>
    <row r="784" spans="1:1" ht="12.75" x14ac:dyDescent="0.2">
      <c r="A784" s="7"/>
    </row>
    <row r="785" spans="1:1" ht="12.75" x14ac:dyDescent="0.2">
      <c r="A785" s="7"/>
    </row>
    <row r="786" spans="1:1" ht="12.75" x14ac:dyDescent="0.2">
      <c r="A786" s="7"/>
    </row>
    <row r="787" spans="1:1" ht="12.75" x14ac:dyDescent="0.2">
      <c r="A787" s="7"/>
    </row>
    <row r="788" spans="1:1" ht="12.75" x14ac:dyDescent="0.2">
      <c r="A788" s="7"/>
    </row>
    <row r="789" spans="1:1" ht="12.75" x14ac:dyDescent="0.2">
      <c r="A789" s="7"/>
    </row>
    <row r="790" spans="1:1" ht="12.75" x14ac:dyDescent="0.2">
      <c r="A790" s="7"/>
    </row>
    <row r="791" spans="1:1" ht="12.75" x14ac:dyDescent="0.2">
      <c r="A791" s="7"/>
    </row>
    <row r="792" spans="1:1" ht="12.75" x14ac:dyDescent="0.2">
      <c r="A792" s="7"/>
    </row>
    <row r="793" spans="1:1" ht="12.75" x14ac:dyDescent="0.2">
      <c r="A793" s="7"/>
    </row>
    <row r="794" spans="1:1" ht="12.75" x14ac:dyDescent="0.2">
      <c r="A794" s="7"/>
    </row>
    <row r="795" spans="1:1" ht="12.75" x14ac:dyDescent="0.2">
      <c r="A795" s="7"/>
    </row>
    <row r="796" spans="1:1" ht="12.75" x14ac:dyDescent="0.2">
      <c r="A796" s="7"/>
    </row>
    <row r="797" spans="1:1" ht="12.75" x14ac:dyDescent="0.2">
      <c r="A797" s="7"/>
    </row>
    <row r="798" spans="1:1" ht="12.75" x14ac:dyDescent="0.2">
      <c r="A798" s="7"/>
    </row>
    <row r="799" spans="1:1" ht="12.75" x14ac:dyDescent="0.2">
      <c r="A799" s="7"/>
    </row>
    <row r="800" spans="1:1" ht="12.75" x14ac:dyDescent="0.2">
      <c r="A800" s="7"/>
    </row>
    <row r="801" spans="1:1" ht="12.75" x14ac:dyDescent="0.2">
      <c r="A801" s="7"/>
    </row>
    <row r="802" spans="1:1" ht="12.75" x14ac:dyDescent="0.2">
      <c r="A802" s="7"/>
    </row>
    <row r="803" spans="1:1" ht="12.75" x14ac:dyDescent="0.2">
      <c r="A803" s="7"/>
    </row>
    <row r="804" spans="1:1" ht="12.75" x14ac:dyDescent="0.2">
      <c r="A804" s="7"/>
    </row>
    <row r="805" spans="1:1" ht="12.75" x14ac:dyDescent="0.2">
      <c r="A805" s="7"/>
    </row>
    <row r="806" spans="1:1" ht="12.75" x14ac:dyDescent="0.2">
      <c r="A806" s="7"/>
    </row>
    <row r="807" spans="1:1" ht="12.75" x14ac:dyDescent="0.2">
      <c r="A807" s="7"/>
    </row>
    <row r="808" spans="1:1" ht="12.75" x14ac:dyDescent="0.2">
      <c r="A808" s="7"/>
    </row>
    <row r="809" spans="1:1" ht="12.75" x14ac:dyDescent="0.2">
      <c r="A809" s="7"/>
    </row>
    <row r="810" spans="1:1" ht="12.75" x14ac:dyDescent="0.2">
      <c r="A810" s="7"/>
    </row>
    <row r="811" spans="1:1" ht="12.75" x14ac:dyDescent="0.2">
      <c r="A811" s="7"/>
    </row>
    <row r="812" spans="1:1" ht="12.75" x14ac:dyDescent="0.2">
      <c r="A812" s="7"/>
    </row>
    <row r="813" spans="1:1" ht="12.75" x14ac:dyDescent="0.2">
      <c r="A813" s="7"/>
    </row>
    <row r="814" spans="1:1" ht="12.75" x14ac:dyDescent="0.2">
      <c r="A814" s="7"/>
    </row>
    <row r="815" spans="1:1" ht="12.75" x14ac:dyDescent="0.2">
      <c r="A815" s="7"/>
    </row>
    <row r="816" spans="1:1" ht="12.75" x14ac:dyDescent="0.2">
      <c r="A816" s="7"/>
    </row>
    <row r="817" spans="1:1" ht="12.75" x14ac:dyDescent="0.2">
      <c r="A817" s="7"/>
    </row>
    <row r="818" spans="1:1" ht="12.75" x14ac:dyDescent="0.2">
      <c r="A818" s="7"/>
    </row>
    <row r="819" spans="1:1" ht="12.75" x14ac:dyDescent="0.2">
      <c r="A819" s="7"/>
    </row>
    <row r="820" spans="1:1" ht="12.75" x14ac:dyDescent="0.2">
      <c r="A820" s="7"/>
    </row>
    <row r="821" spans="1:1" ht="12.75" x14ac:dyDescent="0.2">
      <c r="A821" s="7"/>
    </row>
    <row r="822" spans="1:1" ht="12.75" x14ac:dyDescent="0.2">
      <c r="A822" s="7"/>
    </row>
    <row r="823" spans="1:1" ht="12.75" x14ac:dyDescent="0.2">
      <c r="A823" s="7"/>
    </row>
    <row r="824" spans="1:1" ht="12.75" x14ac:dyDescent="0.2">
      <c r="A824" s="7"/>
    </row>
    <row r="825" spans="1:1" ht="12.75" x14ac:dyDescent="0.2">
      <c r="A825" s="7"/>
    </row>
    <row r="826" spans="1:1" ht="12.75" x14ac:dyDescent="0.2">
      <c r="A826" s="7"/>
    </row>
    <row r="827" spans="1:1" ht="12.75" x14ac:dyDescent="0.2">
      <c r="A827" s="7"/>
    </row>
    <row r="828" spans="1:1" ht="12.75" x14ac:dyDescent="0.2">
      <c r="A828" s="7"/>
    </row>
    <row r="829" spans="1:1" ht="12.75" x14ac:dyDescent="0.2">
      <c r="A829" s="7"/>
    </row>
    <row r="830" spans="1:1" ht="12.75" x14ac:dyDescent="0.2">
      <c r="A830" s="7"/>
    </row>
    <row r="831" spans="1:1" ht="12.75" x14ac:dyDescent="0.2">
      <c r="A831" s="7"/>
    </row>
    <row r="832" spans="1:1" ht="12.75" x14ac:dyDescent="0.2">
      <c r="A832" s="7"/>
    </row>
    <row r="833" spans="1:1" ht="12.75" x14ac:dyDescent="0.2">
      <c r="A833" s="7"/>
    </row>
    <row r="834" spans="1:1" ht="12.75" x14ac:dyDescent="0.2">
      <c r="A834" s="7"/>
    </row>
    <row r="835" spans="1:1" ht="12.75" x14ac:dyDescent="0.2">
      <c r="A835" s="7"/>
    </row>
    <row r="836" spans="1:1" ht="12.75" x14ac:dyDescent="0.2">
      <c r="A836" s="7"/>
    </row>
    <row r="837" spans="1:1" ht="12.75" x14ac:dyDescent="0.2">
      <c r="A837" s="7"/>
    </row>
    <row r="838" spans="1:1" ht="12.75" x14ac:dyDescent="0.2">
      <c r="A838" s="7"/>
    </row>
    <row r="839" spans="1:1" ht="12.75" x14ac:dyDescent="0.2">
      <c r="A839" s="7"/>
    </row>
    <row r="840" spans="1:1" ht="12.75" x14ac:dyDescent="0.2">
      <c r="A840" s="7"/>
    </row>
    <row r="841" spans="1:1" ht="12.75" x14ac:dyDescent="0.2">
      <c r="A841" s="7"/>
    </row>
    <row r="842" spans="1:1" ht="12.75" x14ac:dyDescent="0.2">
      <c r="A842" s="7"/>
    </row>
    <row r="843" spans="1:1" ht="12.75" x14ac:dyDescent="0.2">
      <c r="A843" s="7"/>
    </row>
    <row r="844" spans="1:1" ht="12.75" x14ac:dyDescent="0.2">
      <c r="A844" s="7"/>
    </row>
    <row r="845" spans="1:1" ht="12.75" x14ac:dyDescent="0.2">
      <c r="A845" s="7"/>
    </row>
    <row r="846" spans="1:1" ht="12.75" x14ac:dyDescent="0.2">
      <c r="A846" s="7"/>
    </row>
    <row r="847" spans="1:1" ht="12.75" x14ac:dyDescent="0.2">
      <c r="A847" s="7"/>
    </row>
    <row r="848" spans="1:1" ht="12.75" x14ac:dyDescent="0.2">
      <c r="A848" s="7"/>
    </row>
    <row r="849" spans="1:1" ht="12.75" x14ac:dyDescent="0.2">
      <c r="A849" s="7"/>
    </row>
    <row r="850" spans="1:1" ht="12.75" x14ac:dyDescent="0.2">
      <c r="A850" s="7"/>
    </row>
    <row r="851" spans="1:1" ht="12.75" x14ac:dyDescent="0.2">
      <c r="A851" s="7"/>
    </row>
    <row r="852" spans="1:1" ht="12.75" x14ac:dyDescent="0.2">
      <c r="A852" s="7"/>
    </row>
    <row r="853" spans="1:1" ht="12.75" x14ac:dyDescent="0.2">
      <c r="A853" s="7"/>
    </row>
    <row r="854" spans="1:1" ht="12.75" x14ac:dyDescent="0.2">
      <c r="A854" s="7"/>
    </row>
    <row r="855" spans="1:1" ht="12.75" x14ac:dyDescent="0.2">
      <c r="A855" s="7"/>
    </row>
    <row r="856" spans="1:1" ht="12.75" x14ac:dyDescent="0.2">
      <c r="A856" s="7"/>
    </row>
    <row r="857" spans="1:1" ht="12.75" x14ac:dyDescent="0.2">
      <c r="A857" s="7"/>
    </row>
    <row r="858" spans="1:1" ht="12.75" x14ac:dyDescent="0.2">
      <c r="A858" s="7"/>
    </row>
    <row r="859" spans="1:1" ht="12.75" x14ac:dyDescent="0.2">
      <c r="A859" s="7"/>
    </row>
    <row r="860" spans="1:1" ht="12.75" x14ac:dyDescent="0.2">
      <c r="A860" s="7"/>
    </row>
    <row r="861" spans="1:1" ht="12.75" x14ac:dyDescent="0.2">
      <c r="A861" s="7"/>
    </row>
    <row r="862" spans="1:1" ht="12.75" x14ac:dyDescent="0.2">
      <c r="A862" s="7"/>
    </row>
    <row r="863" spans="1:1" ht="12.75" x14ac:dyDescent="0.2">
      <c r="A863" s="7"/>
    </row>
    <row r="864" spans="1:1" ht="12.75" x14ac:dyDescent="0.2">
      <c r="A864" s="7"/>
    </row>
    <row r="865" spans="1:1" ht="12.75" x14ac:dyDescent="0.2">
      <c r="A865" s="7"/>
    </row>
    <row r="866" spans="1:1" ht="12.75" x14ac:dyDescent="0.2">
      <c r="A866" s="7"/>
    </row>
    <row r="867" spans="1:1" ht="12.75" x14ac:dyDescent="0.2">
      <c r="A867" s="7"/>
    </row>
    <row r="868" spans="1:1" ht="12.75" x14ac:dyDescent="0.2">
      <c r="A868" s="7"/>
    </row>
    <row r="869" spans="1:1" ht="12.75" x14ac:dyDescent="0.2">
      <c r="A869" s="7"/>
    </row>
    <row r="870" spans="1:1" ht="12.75" x14ac:dyDescent="0.2">
      <c r="A870" s="7"/>
    </row>
    <row r="871" spans="1:1" ht="12.75" x14ac:dyDescent="0.2">
      <c r="A871" s="7"/>
    </row>
    <row r="872" spans="1:1" ht="12.75" x14ac:dyDescent="0.2">
      <c r="A872" s="7"/>
    </row>
    <row r="873" spans="1:1" ht="12.75" x14ac:dyDescent="0.2">
      <c r="A873" s="7"/>
    </row>
    <row r="874" spans="1:1" ht="12.75" x14ac:dyDescent="0.2">
      <c r="A874" s="7"/>
    </row>
    <row r="875" spans="1:1" ht="12.75" x14ac:dyDescent="0.2">
      <c r="A875" s="7"/>
    </row>
    <row r="876" spans="1:1" ht="12.75" x14ac:dyDescent="0.2">
      <c r="A876" s="7"/>
    </row>
    <row r="877" spans="1:1" ht="12.75" x14ac:dyDescent="0.2">
      <c r="A877" s="7"/>
    </row>
    <row r="878" spans="1:1" ht="12.75" x14ac:dyDescent="0.2">
      <c r="A878" s="7"/>
    </row>
    <row r="879" spans="1:1" ht="12.75" x14ac:dyDescent="0.2">
      <c r="A879" s="7"/>
    </row>
    <row r="880" spans="1:1" ht="12.75" x14ac:dyDescent="0.2">
      <c r="A880" s="7"/>
    </row>
    <row r="881" spans="1:1" ht="12.75" x14ac:dyDescent="0.2">
      <c r="A881" s="7"/>
    </row>
    <row r="882" spans="1:1" ht="12.75" x14ac:dyDescent="0.2">
      <c r="A882" s="7"/>
    </row>
    <row r="883" spans="1:1" ht="12.75" x14ac:dyDescent="0.2">
      <c r="A883" s="7"/>
    </row>
    <row r="884" spans="1:1" ht="12.75" x14ac:dyDescent="0.2">
      <c r="A884" s="7"/>
    </row>
    <row r="885" spans="1:1" ht="12.75" x14ac:dyDescent="0.2">
      <c r="A885" s="7"/>
    </row>
    <row r="886" spans="1:1" ht="12.75" x14ac:dyDescent="0.2">
      <c r="A886" s="7"/>
    </row>
    <row r="887" spans="1:1" ht="12.75" x14ac:dyDescent="0.2">
      <c r="A887" s="7"/>
    </row>
    <row r="888" spans="1:1" ht="12.75" x14ac:dyDescent="0.2">
      <c r="A888" s="7"/>
    </row>
    <row r="889" spans="1:1" ht="12.75" x14ac:dyDescent="0.2">
      <c r="A889" s="7"/>
    </row>
    <row r="890" spans="1:1" ht="12.75" x14ac:dyDescent="0.2">
      <c r="A890" s="7"/>
    </row>
    <row r="891" spans="1:1" ht="12.75" x14ac:dyDescent="0.2">
      <c r="A891" s="7"/>
    </row>
    <row r="892" spans="1:1" ht="12.75" x14ac:dyDescent="0.2">
      <c r="A892" s="7"/>
    </row>
    <row r="893" spans="1:1" ht="12.75" x14ac:dyDescent="0.2">
      <c r="A893" s="7"/>
    </row>
    <row r="894" spans="1:1" ht="12.75" x14ac:dyDescent="0.2">
      <c r="A894" s="7"/>
    </row>
    <row r="895" spans="1:1" ht="12.75" x14ac:dyDescent="0.2">
      <c r="A895" s="7"/>
    </row>
    <row r="896" spans="1:1" ht="12.75" x14ac:dyDescent="0.2">
      <c r="A896" s="7"/>
    </row>
    <row r="897" spans="1:1" ht="12.75" x14ac:dyDescent="0.2">
      <c r="A897" s="7"/>
    </row>
    <row r="898" spans="1:1" ht="12.75" x14ac:dyDescent="0.2">
      <c r="A898" s="7"/>
    </row>
    <row r="899" spans="1:1" ht="12.75" x14ac:dyDescent="0.2">
      <c r="A899" s="7"/>
    </row>
    <row r="900" spans="1:1" ht="12.75" x14ac:dyDescent="0.2">
      <c r="A900" s="7"/>
    </row>
    <row r="901" spans="1:1" ht="12.75" x14ac:dyDescent="0.2">
      <c r="A901" s="7"/>
    </row>
    <row r="902" spans="1:1" ht="12.75" x14ac:dyDescent="0.2">
      <c r="A902" s="7"/>
    </row>
    <row r="903" spans="1:1" ht="12.75" x14ac:dyDescent="0.2">
      <c r="A903" s="7"/>
    </row>
    <row r="904" spans="1:1" ht="12.75" x14ac:dyDescent="0.2">
      <c r="A904" s="7"/>
    </row>
    <row r="905" spans="1:1" ht="12.75" x14ac:dyDescent="0.2">
      <c r="A905" s="7"/>
    </row>
    <row r="906" spans="1:1" ht="12.75" x14ac:dyDescent="0.2">
      <c r="A906" s="7"/>
    </row>
    <row r="907" spans="1:1" ht="12.75" x14ac:dyDescent="0.2">
      <c r="A907" s="7"/>
    </row>
    <row r="908" spans="1:1" ht="12.75" x14ac:dyDescent="0.2">
      <c r="A908" s="7"/>
    </row>
    <row r="909" spans="1:1" ht="12.75" x14ac:dyDescent="0.2">
      <c r="A909" s="7"/>
    </row>
    <row r="910" spans="1:1" ht="12.75" x14ac:dyDescent="0.2">
      <c r="A910" s="7"/>
    </row>
    <row r="911" spans="1:1" ht="12.75" x14ac:dyDescent="0.2">
      <c r="A911" s="7"/>
    </row>
    <row r="912" spans="1:1" ht="12.75" x14ac:dyDescent="0.2">
      <c r="A912" s="7"/>
    </row>
    <row r="913" spans="1:1" ht="12.75" x14ac:dyDescent="0.2">
      <c r="A913" s="7"/>
    </row>
    <row r="914" spans="1:1" ht="12.75" x14ac:dyDescent="0.2">
      <c r="A914" s="7"/>
    </row>
    <row r="915" spans="1:1" ht="12.75" x14ac:dyDescent="0.2">
      <c r="A915" s="7"/>
    </row>
    <row r="916" spans="1:1" ht="12.75" x14ac:dyDescent="0.2">
      <c r="A916" s="7"/>
    </row>
    <row r="917" spans="1:1" ht="12.75" x14ac:dyDescent="0.2">
      <c r="A917" s="7"/>
    </row>
    <row r="918" spans="1:1" ht="12.75" x14ac:dyDescent="0.2">
      <c r="A918" s="7"/>
    </row>
    <row r="919" spans="1:1" ht="12.75" x14ac:dyDescent="0.2">
      <c r="A919" s="7"/>
    </row>
    <row r="920" spans="1:1" ht="12.75" x14ac:dyDescent="0.2">
      <c r="A920" s="7"/>
    </row>
    <row r="921" spans="1:1" ht="12.75" x14ac:dyDescent="0.2">
      <c r="A921" s="7"/>
    </row>
    <row r="922" spans="1:1" ht="12.75" x14ac:dyDescent="0.2">
      <c r="A922" s="7"/>
    </row>
    <row r="923" spans="1:1" ht="12.75" x14ac:dyDescent="0.2">
      <c r="A923" s="7"/>
    </row>
    <row r="924" spans="1:1" ht="12.75" x14ac:dyDescent="0.2">
      <c r="A924" s="7"/>
    </row>
    <row r="925" spans="1:1" ht="12.75" x14ac:dyDescent="0.2">
      <c r="A925" s="7"/>
    </row>
    <row r="926" spans="1:1" ht="12.75" x14ac:dyDescent="0.2">
      <c r="A926" s="7"/>
    </row>
    <row r="927" spans="1:1" ht="12.75" x14ac:dyDescent="0.2">
      <c r="A927" s="7"/>
    </row>
    <row r="928" spans="1:1" ht="12.75" x14ac:dyDescent="0.2">
      <c r="A928" s="7"/>
    </row>
    <row r="929" spans="1:1" ht="12.75" x14ac:dyDescent="0.2">
      <c r="A929" s="7"/>
    </row>
    <row r="930" spans="1:1" ht="12.75" x14ac:dyDescent="0.2">
      <c r="A930" s="7"/>
    </row>
    <row r="931" spans="1:1" ht="12.75" x14ac:dyDescent="0.2">
      <c r="A931" s="7"/>
    </row>
    <row r="932" spans="1:1" ht="12.75" x14ac:dyDescent="0.2">
      <c r="A932" s="7"/>
    </row>
    <row r="933" spans="1:1" ht="12.75" x14ac:dyDescent="0.2">
      <c r="A933" s="7"/>
    </row>
    <row r="934" spans="1:1" ht="12.75" x14ac:dyDescent="0.2">
      <c r="A934" s="7"/>
    </row>
    <row r="935" spans="1:1" ht="12.75" x14ac:dyDescent="0.2">
      <c r="A935" s="7"/>
    </row>
    <row r="936" spans="1:1" ht="12.75" x14ac:dyDescent="0.2">
      <c r="A936" s="7"/>
    </row>
    <row r="937" spans="1:1" ht="12.75" x14ac:dyDescent="0.2">
      <c r="A937" s="7"/>
    </row>
    <row r="938" spans="1:1" ht="12.75" x14ac:dyDescent="0.2">
      <c r="A938" s="7"/>
    </row>
    <row r="939" spans="1:1" ht="12.75" x14ac:dyDescent="0.2">
      <c r="A939" s="7"/>
    </row>
    <row r="940" spans="1:1" ht="12.75" x14ac:dyDescent="0.2">
      <c r="A940" s="7"/>
    </row>
    <row r="941" spans="1:1" ht="12.75" x14ac:dyDescent="0.2">
      <c r="A941" s="7"/>
    </row>
    <row r="942" spans="1:1" ht="12.75" x14ac:dyDescent="0.2">
      <c r="A942" s="7"/>
    </row>
    <row r="943" spans="1:1" ht="12.75" x14ac:dyDescent="0.2">
      <c r="A943" s="7"/>
    </row>
    <row r="944" spans="1:1" ht="12.75" x14ac:dyDescent="0.2">
      <c r="A944" s="7"/>
    </row>
    <row r="945" spans="1:1" ht="12.75" x14ac:dyDescent="0.2">
      <c r="A945" s="7"/>
    </row>
    <row r="946" spans="1:1" ht="12.75" x14ac:dyDescent="0.2">
      <c r="A946" s="7"/>
    </row>
    <row r="947" spans="1:1" ht="12.75" x14ac:dyDescent="0.2">
      <c r="A947" s="7"/>
    </row>
    <row r="948" spans="1:1" ht="12.75" x14ac:dyDescent="0.2">
      <c r="A948" s="7"/>
    </row>
    <row r="949" spans="1:1" ht="12.75" x14ac:dyDescent="0.2">
      <c r="A949" s="7"/>
    </row>
    <row r="950" spans="1:1" ht="12.75" x14ac:dyDescent="0.2">
      <c r="A950" s="7"/>
    </row>
    <row r="951" spans="1:1" ht="12.75" x14ac:dyDescent="0.2">
      <c r="A951" s="7"/>
    </row>
    <row r="952" spans="1:1" ht="12.75" x14ac:dyDescent="0.2">
      <c r="A952" s="7"/>
    </row>
    <row r="953" spans="1:1" ht="12.75" x14ac:dyDescent="0.2">
      <c r="A953" s="7"/>
    </row>
    <row r="954" spans="1:1" ht="12.75" x14ac:dyDescent="0.2">
      <c r="A954" s="7"/>
    </row>
    <row r="955" spans="1:1" ht="12.75" x14ac:dyDescent="0.2">
      <c r="A955" s="7"/>
    </row>
    <row r="956" spans="1:1" ht="12.75" x14ac:dyDescent="0.2">
      <c r="A956" s="7"/>
    </row>
    <row r="957" spans="1:1" ht="12.75" x14ac:dyDescent="0.2">
      <c r="A957" s="7"/>
    </row>
    <row r="958" spans="1:1" ht="12.75" x14ac:dyDescent="0.2">
      <c r="A958" s="7"/>
    </row>
    <row r="959" spans="1:1" ht="12.75" x14ac:dyDescent="0.2">
      <c r="A959" s="7"/>
    </row>
    <row r="960" spans="1:1" ht="12.75" x14ac:dyDescent="0.2">
      <c r="A960" s="7"/>
    </row>
    <row r="961" spans="1:1" ht="12.75" x14ac:dyDescent="0.2">
      <c r="A961" s="7"/>
    </row>
    <row r="962" spans="1:1" ht="12.75" x14ac:dyDescent="0.2">
      <c r="A962" s="7"/>
    </row>
    <row r="963" spans="1:1" ht="12.75" x14ac:dyDescent="0.2">
      <c r="A963" s="7"/>
    </row>
    <row r="964" spans="1:1" ht="12.75" x14ac:dyDescent="0.2">
      <c r="A964" s="7"/>
    </row>
    <row r="965" spans="1:1" ht="12.75" x14ac:dyDescent="0.2">
      <c r="A965" s="7"/>
    </row>
    <row r="966" spans="1:1" ht="12.75" x14ac:dyDescent="0.2">
      <c r="A966" s="7"/>
    </row>
    <row r="967" spans="1:1" ht="12.75" x14ac:dyDescent="0.2">
      <c r="A967" s="7"/>
    </row>
    <row r="968" spans="1:1" ht="12.75" x14ac:dyDescent="0.2">
      <c r="A968" s="7"/>
    </row>
    <row r="969" spans="1:1" ht="12.75" x14ac:dyDescent="0.2">
      <c r="A969" s="7"/>
    </row>
    <row r="970" spans="1:1" ht="12.75" x14ac:dyDescent="0.2">
      <c r="A970" s="7"/>
    </row>
    <row r="971" spans="1:1" ht="12.75" x14ac:dyDescent="0.2">
      <c r="A971" s="7"/>
    </row>
    <row r="972" spans="1:1" ht="12.75" x14ac:dyDescent="0.2">
      <c r="A972" s="7"/>
    </row>
    <row r="973" spans="1:1" ht="12.75" x14ac:dyDescent="0.2">
      <c r="A973" s="7"/>
    </row>
    <row r="974" spans="1:1" ht="12.75" x14ac:dyDescent="0.2">
      <c r="A974" s="7"/>
    </row>
    <row r="975" spans="1:1" ht="12.75" x14ac:dyDescent="0.2">
      <c r="A975" s="7"/>
    </row>
    <row r="976" spans="1:1" ht="12.75" x14ac:dyDescent="0.2">
      <c r="A976" s="7"/>
    </row>
    <row r="977" spans="1:1" ht="12.75" x14ac:dyDescent="0.2">
      <c r="A977" s="7"/>
    </row>
    <row r="978" spans="1:1" ht="12.75" x14ac:dyDescent="0.2">
      <c r="A978" s="7"/>
    </row>
  </sheetData>
  <mergeCells count="11">
    <mergeCell ref="Q1:Q3"/>
    <mergeCell ref="A1:A3"/>
    <mergeCell ref="I1:K2"/>
    <mergeCell ref="R111:R124"/>
    <mergeCell ref="L1:N2"/>
    <mergeCell ref="O1:O3"/>
    <mergeCell ref="P1:P3"/>
    <mergeCell ref="R8:R11"/>
    <mergeCell ref="B1:B3"/>
    <mergeCell ref="C1:E2"/>
    <mergeCell ref="F1:H2"/>
  </mergeCells>
  <phoneticPr fontId="7" type="noConversion"/>
  <printOptions horizontalCentered="1" gridLines="1"/>
  <pageMargins left="0.7" right="0.7" top="0.75" bottom="0.75" header="0" footer="0"/>
  <pageSetup scale="56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571F-BBDF-40BD-A5B2-700720A8D1CE}">
  <dimension ref="A1:B130"/>
  <sheetViews>
    <sheetView workbookViewId="0">
      <selection activeCell="S27" sqref="S27"/>
    </sheetView>
  </sheetViews>
  <sheetFormatPr defaultRowHeight="12.75" x14ac:dyDescent="0.2"/>
  <sheetData>
    <row r="1" spans="1:2" x14ac:dyDescent="0.2">
      <c r="A1" s="6">
        <v>3.42</v>
      </c>
      <c r="B1" s="1">
        <v>168.6</v>
      </c>
    </row>
    <row r="2" spans="1:2" x14ac:dyDescent="0.2">
      <c r="A2" s="10">
        <v>3</v>
      </c>
      <c r="B2" s="9">
        <v>242.4</v>
      </c>
    </row>
    <row r="3" spans="1:2" x14ac:dyDescent="0.2">
      <c r="A3" s="6">
        <v>2.5299999999999998</v>
      </c>
      <c r="B3" s="1">
        <v>229</v>
      </c>
    </row>
    <row r="4" spans="1:2" x14ac:dyDescent="0.2">
      <c r="A4" s="6">
        <v>3.25</v>
      </c>
      <c r="B4" s="9">
        <v>161.30000000000001</v>
      </c>
    </row>
    <row r="5" spans="1:2" x14ac:dyDescent="0.2">
      <c r="A5" s="3">
        <v>1.06</v>
      </c>
      <c r="B5" s="28"/>
    </row>
    <row r="6" spans="1:2" x14ac:dyDescent="0.2">
      <c r="A6" s="3">
        <v>1.06</v>
      </c>
      <c r="B6" s="9"/>
    </row>
    <row r="7" spans="1:2" x14ac:dyDescent="0.2">
      <c r="A7" s="3">
        <v>1.06</v>
      </c>
      <c r="B7" s="9"/>
    </row>
    <row r="8" spans="1:2" x14ac:dyDescent="0.2">
      <c r="A8" s="3">
        <v>1.17</v>
      </c>
      <c r="B8" s="9"/>
    </row>
    <row r="9" spans="1:2" x14ac:dyDescent="0.2">
      <c r="A9" s="3">
        <v>1.05</v>
      </c>
      <c r="B9" s="9">
        <v>97</v>
      </c>
    </row>
    <row r="10" spans="1:2" x14ac:dyDescent="0.2">
      <c r="A10" s="3">
        <v>1.8129999999999999</v>
      </c>
      <c r="B10" s="9">
        <v>110.4</v>
      </c>
    </row>
    <row r="11" spans="1:2" x14ac:dyDescent="0.2">
      <c r="A11" s="3">
        <v>1.5329999999999999</v>
      </c>
      <c r="B11" s="1">
        <v>57.9</v>
      </c>
    </row>
    <row r="12" spans="1:2" x14ac:dyDescent="0.2">
      <c r="A12" s="3">
        <v>1.601</v>
      </c>
      <c r="B12" s="1">
        <v>103</v>
      </c>
    </row>
    <row r="13" spans="1:2" x14ac:dyDescent="0.2">
      <c r="A13" s="3">
        <v>1.5409999999999999</v>
      </c>
      <c r="B13" s="1">
        <v>105</v>
      </c>
    </row>
    <row r="14" spans="1:2" x14ac:dyDescent="0.2">
      <c r="A14" s="3">
        <v>0.34</v>
      </c>
      <c r="B14" s="9">
        <v>56.918999999999997</v>
      </c>
    </row>
    <row r="15" spans="1:2" x14ac:dyDescent="0.2">
      <c r="A15" s="3">
        <v>0.41</v>
      </c>
      <c r="B15" s="9">
        <v>101.84</v>
      </c>
    </row>
    <row r="16" spans="1:2" x14ac:dyDescent="0.2">
      <c r="A16" s="3">
        <v>0.48</v>
      </c>
      <c r="B16" s="9">
        <v>150.18</v>
      </c>
    </row>
    <row r="17" spans="1:2" x14ac:dyDescent="0.2">
      <c r="A17" s="3">
        <v>0.59</v>
      </c>
      <c r="B17" s="9">
        <v>28.97</v>
      </c>
    </row>
    <row r="18" spans="1:2" x14ac:dyDescent="0.2">
      <c r="A18" s="3">
        <v>2.2999999999999998</v>
      </c>
      <c r="B18" s="9"/>
    </row>
    <row r="19" spans="1:2" x14ac:dyDescent="0.2">
      <c r="A19" s="3">
        <v>2.15</v>
      </c>
      <c r="B19" s="9"/>
    </row>
    <row r="20" spans="1:2" x14ac:dyDescent="0.2">
      <c r="A20" s="3">
        <v>2.02</v>
      </c>
      <c r="B20" s="9"/>
    </row>
    <row r="21" spans="1:2" x14ac:dyDescent="0.2">
      <c r="A21" s="3">
        <v>1.73</v>
      </c>
      <c r="B21" s="9"/>
    </row>
    <row r="22" spans="1:2" x14ac:dyDescent="0.2">
      <c r="A22" s="3">
        <v>1.69</v>
      </c>
      <c r="B22" s="9"/>
    </row>
    <row r="23" spans="1:2" x14ac:dyDescent="0.2">
      <c r="A23" s="3">
        <v>2.42</v>
      </c>
      <c r="B23" s="9"/>
    </row>
    <row r="24" spans="1:2" x14ac:dyDescent="0.2">
      <c r="A24" s="3">
        <v>1.89</v>
      </c>
      <c r="B24" s="9"/>
    </row>
    <row r="25" spans="1:2" x14ac:dyDescent="0.2">
      <c r="A25" s="3">
        <v>1.79</v>
      </c>
      <c r="B25" s="9"/>
    </row>
    <row r="26" spans="1:2" x14ac:dyDescent="0.2">
      <c r="A26" s="3">
        <v>1.71</v>
      </c>
      <c r="B26" s="9"/>
    </row>
    <row r="27" spans="1:2" x14ac:dyDescent="0.2">
      <c r="A27" s="3">
        <v>1.58</v>
      </c>
      <c r="B27" s="9"/>
    </row>
    <row r="28" spans="1:2" x14ac:dyDescent="0.2">
      <c r="A28" s="3">
        <v>1.82</v>
      </c>
      <c r="B28" s="9"/>
    </row>
    <row r="29" spans="1:2" x14ac:dyDescent="0.2">
      <c r="A29" s="3">
        <v>1.86</v>
      </c>
      <c r="B29" s="9"/>
    </row>
    <row r="30" spans="1:2" x14ac:dyDescent="0.2">
      <c r="A30" s="3">
        <v>1.78</v>
      </c>
      <c r="B30" s="9"/>
    </row>
    <row r="31" spans="1:2" x14ac:dyDescent="0.2">
      <c r="A31" s="3">
        <v>2.4500000000000002</v>
      </c>
      <c r="B31" s="1">
        <v>83.9</v>
      </c>
    </row>
    <row r="32" spans="1:2" x14ac:dyDescent="0.2">
      <c r="A32" s="3">
        <v>2.0299999999999998</v>
      </c>
      <c r="B32" s="1">
        <v>75.7</v>
      </c>
    </row>
    <row r="33" spans="1:2" x14ac:dyDescent="0.2">
      <c r="A33" s="3">
        <v>1.79</v>
      </c>
      <c r="B33" s="1">
        <v>35.799999999999997</v>
      </c>
    </row>
    <row r="34" spans="1:2" x14ac:dyDescent="0.2">
      <c r="A34" s="6">
        <v>0.81</v>
      </c>
      <c r="B34" s="9"/>
    </row>
    <row r="35" spans="1:2" x14ac:dyDescent="0.2">
      <c r="A35" s="6">
        <v>0.9</v>
      </c>
      <c r="B35" s="9"/>
    </row>
    <row r="36" spans="1:2" x14ac:dyDescent="0.2">
      <c r="A36" s="6">
        <v>0.91</v>
      </c>
      <c r="B36" s="9"/>
    </row>
    <row r="37" spans="1:2" x14ac:dyDescent="0.2">
      <c r="A37" s="5">
        <v>0.88</v>
      </c>
      <c r="B37" s="9"/>
    </row>
    <row r="38" spans="1:2" x14ac:dyDescent="0.2">
      <c r="A38" s="3">
        <v>0.83</v>
      </c>
      <c r="B38" s="9"/>
    </row>
    <row r="39" spans="1:2" x14ac:dyDescent="0.2">
      <c r="A39" s="3">
        <v>3.53</v>
      </c>
      <c r="B39" s="13">
        <v>184</v>
      </c>
    </row>
    <row r="40" spans="1:2" x14ac:dyDescent="0.2">
      <c r="A40" s="3">
        <v>3.12</v>
      </c>
      <c r="B40" s="9">
        <v>299.39999999999998</v>
      </c>
    </row>
    <row r="41" spans="1:2" x14ac:dyDescent="0.2">
      <c r="A41" s="3">
        <v>2.67</v>
      </c>
      <c r="B41" s="13">
        <v>237</v>
      </c>
    </row>
    <row r="42" spans="1:2" x14ac:dyDescent="0.2">
      <c r="A42" s="5">
        <v>2.52</v>
      </c>
      <c r="B42" s="13">
        <v>246</v>
      </c>
    </row>
    <row r="43" spans="1:2" x14ac:dyDescent="0.2">
      <c r="A43" s="3">
        <v>0.78</v>
      </c>
      <c r="B43" s="13">
        <v>161</v>
      </c>
    </row>
    <row r="44" spans="1:2" x14ac:dyDescent="0.2">
      <c r="A44" s="3">
        <v>0.91</v>
      </c>
      <c r="B44" s="13">
        <v>141</v>
      </c>
    </row>
    <row r="45" spans="1:2" x14ac:dyDescent="0.2">
      <c r="A45" s="3">
        <v>0.93</v>
      </c>
      <c r="B45" s="13">
        <v>83</v>
      </c>
    </row>
    <row r="46" spans="1:2" x14ac:dyDescent="0.2">
      <c r="A46" s="3">
        <v>0.79</v>
      </c>
      <c r="B46" s="13">
        <v>181</v>
      </c>
    </row>
    <row r="47" spans="1:2" x14ac:dyDescent="0.2">
      <c r="A47" s="3">
        <v>0.92</v>
      </c>
      <c r="B47" s="13">
        <v>156</v>
      </c>
    </row>
    <row r="48" spans="1:2" x14ac:dyDescent="0.2">
      <c r="A48" s="3">
        <v>0.94</v>
      </c>
      <c r="B48" s="13">
        <v>107</v>
      </c>
    </row>
    <row r="49" spans="1:2" x14ac:dyDescent="0.2">
      <c r="A49" s="6">
        <v>0.65900000000000003</v>
      </c>
      <c r="B49" s="13">
        <v>154</v>
      </c>
    </row>
    <row r="50" spans="1:2" x14ac:dyDescent="0.2">
      <c r="A50" s="6">
        <v>0.71599999999999997</v>
      </c>
      <c r="B50" s="13">
        <v>172</v>
      </c>
    </row>
    <row r="51" spans="1:2" x14ac:dyDescent="0.2">
      <c r="A51" s="6">
        <v>0.749</v>
      </c>
      <c r="B51" s="13">
        <v>139</v>
      </c>
    </row>
    <row r="52" spans="1:2" x14ac:dyDescent="0.2">
      <c r="A52" s="6">
        <v>0.54</v>
      </c>
      <c r="B52" s="2">
        <v>46</v>
      </c>
    </row>
    <row r="53" spans="1:2" x14ac:dyDescent="0.2">
      <c r="A53" s="6">
        <v>0.61</v>
      </c>
      <c r="B53" s="2">
        <v>92</v>
      </c>
    </row>
    <row r="54" spans="1:2" x14ac:dyDescent="0.2">
      <c r="A54" s="6">
        <v>0.66</v>
      </c>
      <c r="B54" s="2">
        <v>84</v>
      </c>
    </row>
    <row r="55" spans="1:2" x14ac:dyDescent="0.2">
      <c r="A55" s="6">
        <v>0.72</v>
      </c>
      <c r="B55" s="2">
        <v>40</v>
      </c>
    </row>
    <row r="56" spans="1:2" x14ac:dyDescent="0.2">
      <c r="A56" s="29">
        <v>2.4213075060532687</v>
      </c>
      <c r="B56" s="9"/>
    </row>
    <row r="57" spans="1:2" x14ac:dyDescent="0.2">
      <c r="A57" s="29">
        <v>2.4875621890547261</v>
      </c>
      <c r="B57" s="9"/>
    </row>
    <row r="58" spans="1:2" x14ac:dyDescent="0.2">
      <c r="A58" s="29">
        <v>2.5062656641604009</v>
      </c>
      <c r="B58" s="9"/>
    </row>
    <row r="59" spans="1:2" x14ac:dyDescent="0.2">
      <c r="A59" s="29">
        <v>2.5125628140703515</v>
      </c>
      <c r="B59" s="9"/>
    </row>
    <row r="60" spans="1:2" x14ac:dyDescent="0.2">
      <c r="A60" s="6">
        <v>1.02</v>
      </c>
      <c r="B60" s="9">
        <v>91.9</v>
      </c>
    </row>
    <row r="61" spans="1:2" x14ac:dyDescent="0.2">
      <c r="A61" s="6">
        <v>0.91</v>
      </c>
      <c r="B61" s="13">
        <v>77</v>
      </c>
    </row>
    <row r="62" spans="1:2" x14ac:dyDescent="0.2">
      <c r="A62" s="6">
        <v>0.98</v>
      </c>
      <c r="B62" s="13">
        <v>100</v>
      </c>
    </row>
    <row r="63" spans="1:2" x14ac:dyDescent="0.2">
      <c r="A63" s="6">
        <v>0.6</v>
      </c>
      <c r="B63" s="13">
        <v>101</v>
      </c>
    </row>
    <row r="64" spans="1:2" x14ac:dyDescent="0.2">
      <c r="A64" s="6">
        <v>0.62</v>
      </c>
      <c r="B64" s="13">
        <v>86</v>
      </c>
    </row>
    <row r="65" spans="1:2" x14ac:dyDescent="0.2">
      <c r="A65" s="6">
        <v>0.66</v>
      </c>
      <c r="B65" s="13">
        <v>86</v>
      </c>
    </row>
    <row r="66" spans="1:2" x14ac:dyDescent="0.2">
      <c r="A66" s="6">
        <v>0.89</v>
      </c>
      <c r="B66" s="13">
        <v>77</v>
      </c>
    </row>
    <row r="67" spans="1:2" x14ac:dyDescent="0.2">
      <c r="A67" s="6">
        <v>0.92</v>
      </c>
      <c r="B67" s="13">
        <v>55</v>
      </c>
    </row>
    <row r="68" spans="1:2" x14ac:dyDescent="0.2">
      <c r="A68" s="6"/>
      <c r="B68" s="9"/>
    </row>
    <row r="69" spans="1:2" x14ac:dyDescent="0.2">
      <c r="A69" s="6"/>
      <c r="B69" s="9"/>
    </row>
    <row r="70" spans="1:2" x14ac:dyDescent="0.2">
      <c r="A70" s="6"/>
      <c r="B70" s="9"/>
    </row>
    <row r="71" spans="1:2" x14ac:dyDescent="0.2">
      <c r="A71" s="6">
        <v>0.67300000000000004</v>
      </c>
      <c r="B71" s="13">
        <v>82</v>
      </c>
    </row>
    <row r="72" spans="1:2" x14ac:dyDescent="0.2">
      <c r="A72" s="6">
        <v>0.69899999999999995</v>
      </c>
      <c r="B72" s="13">
        <v>75</v>
      </c>
    </row>
    <row r="73" spans="1:2" x14ac:dyDescent="0.2">
      <c r="A73" s="6">
        <v>0.748</v>
      </c>
      <c r="B73" s="13">
        <v>96</v>
      </c>
    </row>
    <row r="74" spans="1:2" x14ac:dyDescent="0.2">
      <c r="A74" s="6">
        <v>0.78700000000000003</v>
      </c>
      <c r="B74" s="13">
        <v>57</v>
      </c>
    </row>
    <row r="75" spans="1:2" x14ac:dyDescent="0.2">
      <c r="A75" s="6">
        <v>0.85699999999999998</v>
      </c>
      <c r="B75" s="13">
        <v>53</v>
      </c>
    </row>
    <row r="76" spans="1:2" x14ac:dyDescent="0.2">
      <c r="A76" s="6">
        <v>2.66</v>
      </c>
      <c r="B76" s="9"/>
    </row>
    <row r="77" spans="1:2" x14ac:dyDescent="0.2">
      <c r="A77" s="6">
        <v>2.4700000000000002</v>
      </c>
      <c r="B77" s="9"/>
    </row>
    <row r="78" spans="1:2" x14ac:dyDescent="0.2">
      <c r="A78" s="6">
        <v>2.23</v>
      </c>
      <c r="B78" s="9"/>
    </row>
    <row r="79" spans="1:2" x14ac:dyDescent="0.2">
      <c r="A79" s="6">
        <v>2.06</v>
      </c>
      <c r="B79" s="9"/>
    </row>
    <row r="80" spans="1:2" x14ac:dyDescent="0.2">
      <c r="A80" s="6">
        <v>1.77</v>
      </c>
      <c r="B80" s="9"/>
    </row>
    <row r="81" spans="1:2" x14ac:dyDescent="0.2">
      <c r="A81" s="6">
        <v>1.78</v>
      </c>
      <c r="B81" s="9"/>
    </row>
    <row r="82" spans="1:2" x14ac:dyDescent="0.2">
      <c r="A82" s="6">
        <v>1.77</v>
      </c>
      <c r="B82" s="9"/>
    </row>
    <row r="83" spans="1:2" x14ac:dyDescent="0.2">
      <c r="A83" s="6">
        <v>1.76</v>
      </c>
      <c r="B83" s="9"/>
    </row>
    <row r="84" spans="1:2" x14ac:dyDescent="0.2">
      <c r="A84" s="6">
        <v>2.74</v>
      </c>
      <c r="B84" s="30">
        <v>112</v>
      </c>
    </row>
    <row r="85" spans="1:2" x14ac:dyDescent="0.2">
      <c r="A85" s="6">
        <v>1.36</v>
      </c>
      <c r="B85" s="13">
        <v>154</v>
      </c>
    </row>
    <row r="86" spans="1:2" x14ac:dyDescent="0.2">
      <c r="A86" s="6">
        <v>1.35</v>
      </c>
      <c r="B86" s="9">
        <v>183.4</v>
      </c>
    </row>
    <row r="87" spans="1:2" x14ac:dyDescent="0.2">
      <c r="A87" s="6">
        <v>1.33</v>
      </c>
      <c r="B87" s="13">
        <v>165</v>
      </c>
    </row>
    <row r="88" spans="1:2" x14ac:dyDescent="0.2">
      <c r="A88" s="6">
        <v>1.17</v>
      </c>
      <c r="B88" s="13">
        <v>179</v>
      </c>
    </row>
    <row r="89" spans="1:2" x14ac:dyDescent="0.2">
      <c r="A89" s="6">
        <v>1.87</v>
      </c>
      <c r="B89" s="13">
        <v>102</v>
      </c>
    </row>
    <row r="90" spans="1:2" x14ac:dyDescent="0.2">
      <c r="A90" s="6">
        <v>1.82</v>
      </c>
      <c r="B90" s="13">
        <v>134</v>
      </c>
    </row>
    <row r="91" spans="1:2" x14ac:dyDescent="0.2">
      <c r="A91" s="6">
        <v>1.69</v>
      </c>
      <c r="B91" s="9">
        <v>149.5</v>
      </c>
    </row>
    <row r="92" spans="1:2" x14ac:dyDescent="0.2">
      <c r="A92" s="6">
        <v>1.65</v>
      </c>
      <c r="B92" s="13">
        <v>75</v>
      </c>
    </row>
    <row r="93" spans="1:2" x14ac:dyDescent="0.2">
      <c r="A93" s="6">
        <v>1.05</v>
      </c>
      <c r="B93" s="9">
        <v>192</v>
      </c>
    </row>
    <row r="94" spans="1:2" x14ac:dyDescent="0.2">
      <c r="B94" s="9"/>
    </row>
    <row r="95" spans="1:2" x14ac:dyDescent="0.2">
      <c r="B95" s="9"/>
    </row>
    <row r="96" spans="1:2" x14ac:dyDescent="0.2">
      <c r="B96" s="9"/>
    </row>
    <row r="97" spans="1:2" x14ac:dyDescent="0.2">
      <c r="B97" s="9"/>
    </row>
    <row r="98" spans="1:2" x14ac:dyDescent="0.2">
      <c r="A98">
        <v>0.97</v>
      </c>
      <c r="B98" s="9"/>
    </row>
    <row r="99" spans="1:2" x14ac:dyDescent="0.2">
      <c r="A99">
        <v>0.96</v>
      </c>
      <c r="B99" s="13">
        <v>104</v>
      </c>
    </row>
    <row r="100" spans="1:2" x14ac:dyDescent="0.2">
      <c r="A100">
        <v>0.88</v>
      </c>
      <c r="B100" s="9"/>
    </row>
    <row r="101" spans="1:2" x14ac:dyDescent="0.2">
      <c r="A101" s="4">
        <v>1.03</v>
      </c>
      <c r="B101" s="9"/>
    </row>
    <row r="102" spans="1:2" x14ac:dyDescent="0.2">
      <c r="A102" s="4">
        <v>1.05</v>
      </c>
      <c r="B102" s="9"/>
    </row>
    <row r="103" spans="1:2" x14ac:dyDescent="0.2">
      <c r="A103">
        <v>1.1599999999999999</v>
      </c>
      <c r="B103" s="9"/>
    </row>
    <row r="104" spans="1:2" x14ac:dyDescent="0.2">
      <c r="A104" s="4">
        <v>1.19</v>
      </c>
      <c r="B104" s="9"/>
    </row>
    <row r="105" spans="1:2" x14ac:dyDescent="0.2">
      <c r="A105" s="4">
        <v>1.27</v>
      </c>
      <c r="B105" s="9"/>
    </row>
    <row r="106" spans="1:2" x14ac:dyDescent="0.2">
      <c r="A106" s="4">
        <v>1.57</v>
      </c>
      <c r="B106" s="9"/>
    </row>
    <row r="107" spans="1:2" x14ac:dyDescent="0.2">
      <c r="A107">
        <v>1.66</v>
      </c>
      <c r="B107" s="9"/>
    </row>
    <row r="108" spans="1:2" x14ac:dyDescent="0.2">
      <c r="A108" s="6">
        <v>2.57</v>
      </c>
      <c r="B108" s="13">
        <v>182</v>
      </c>
    </row>
    <row r="109" spans="1:2" x14ac:dyDescent="0.2">
      <c r="A109" s="6">
        <v>2.84</v>
      </c>
      <c r="B109" s="13">
        <v>283</v>
      </c>
    </row>
    <row r="110" spans="1:2" x14ac:dyDescent="0.2">
      <c r="A110" s="6">
        <v>2.86</v>
      </c>
      <c r="B110" s="13">
        <v>287</v>
      </c>
    </row>
    <row r="111" spans="1:2" x14ac:dyDescent="0.2">
      <c r="A111" s="6">
        <v>2.39</v>
      </c>
      <c r="B111" s="13">
        <v>235</v>
      </c>
    </row>
    <row r="112" spans="1:2" x14ac:dyDescent="0.2">
      <c r="A112" s="6">
        <v>2.61</v>
      </c>
      <c r="B112" s="13">
        <v>167</v>
      </c>
    </row>
    <row r="113" spans="1:2" x14ac:dyDescent="0.2">
      <c r="A113" s="6">
        <v>2.57</v>
      </c>
      <c r="B113" s="13">
        <v>182</v>
      </c>
    </row>
    <row r="114" spans="1:2" x14ac:dyDescent="0.2">
      <c r="A114" s="10">
        <v>2.7</v>
      </c>
      <c r="B114" s="13">
        <v>239</v>
      </c>
    </row>
    <row r="115" spans="1:2" x14ac:dyDescent="0.2">
      <c r="A115" s="6">
        <v>2.92</v>
      </c>
      <c r="B115" s="13">
        <v>279</v>
      </c>
    </row>
    <row r="116" spans="1:2" x14ac:dyDescent="0.2">
      <c r="A116">
        <v>2.83</v>
      </c>
      <c r="B116" s="13">
        <v>277</v>
      </c>
    </row>
    <row r="117" spans="1:2" x14ac:dyDescent="0.2">
      <c r="A117" s="6">
        <v>2.62</v>
      </c>
      <c r="B117" s="13">
        <v>75</v>
      </c>
    </row>
    <row r="118" spans="1:2" x14ac:dyDescent="0.2">
      <c r="A118">
        <v>2.67</v>
      </c>
      <c r="B118" s="13">
        <v>296</v>
      </c>
    </row>
    <row r="119" spans="1:2" x14ac:dyDescent="0.2">
      <c r="A119" s="8">
        <v>2.7</v>
      </c>
      <c r="B119" s="13">
        <v>268</v>
      </c>
    </row>
    <row r="120" spans="1:2" x14ac:dyDescent="0.2">
      <c r="A120">
        <v>2.16</v>
      </c>
      <c r="B120" s="13">
        <v>195</v>
      </c>
    </row>
    <row r="121" spans="1:2" x14ac:dyDescent="0.2">
      <c r="A121">
        <v>2.29</v>
      </c>
      <c r="B121" s="13">
        <v>161</v>
      </c>
    </row>
    <row r="122" spans="1:2" x14ac:dyDescent="0.2">
      <c r="B122" s="1">
        <v>117</v>
      </c>
    </row>
    <row r="123" spans="1:2" x14ac:dyDescent="0.2">
      <c r="B123" s="1">
        <v>111</v>
      </c>
    </row>
    <row r="124" spans="1:2" x14ac:dyDescent="0.2">
      <c r="B124" s="1">
        <v>94</v>
      </c>
    </row>
    <row r="125" spans="1:2" x14ac:dyDescent="0.2">
      <c r="B125" s="1">
        <v>76</v>
      </c>
    </row>
    <row r="126" spans="1:2" x14ac:dyDescent="0.2">
      <c r="A126" s="6">
        <v>1.45</v>
      </c>
      <c r="B126" s="30">
        <v>192</v>
      </c>
    </row>
    <row r="127" spans="1:2" x14ac:dyDescent="0.2">
      <c r="B127" s="30">
        <v>102</v>
      </c>
    </row>
    <row r="128" spans="1:2" x14ac:dyDescent="0.2">
      <c r="A128" s="6">
        <v>1.1000000000000001</v>
      </c>
      <c r="B128" s="13">
        <v>119</v>
      </c>
    </row>
    <row r="129" spans="1:2" x14ac:dyDescent="0.2">
      <c r="A129" s="6">
        <v>1.23</v>
      </c>
      <c r="B129" s="13">
        <v>252</v>
      </c>
    </row>
    <row r="130" spans="1:2" x14ac:dyDescent="0.2">
      <c r="A130" s="6">
        <v>1.37</v>
      </c>
      <c r="B130" s="1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SIB DATA</vt:lpstr>
      <vt:lpstr>Rate Tests</vt:lpstr>
      <vt:lpstr>Raman Deconv and XRD 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Bryce Wilson</dc:creator>
  <cp:keywords/>
  <dc:description/>
  <cp:lastModifiedBy>Ahmed, Tanvir</cp:lastModifiedBy>
  <cp:revision/>
  <dcterms:created xsi:type="dcterms:W3CDTF">2025-07-23T20:01:00Z</dcterms:created>
  <dcterms:modified xsi:type="dcterms:W3CDTF">2026-05-13T21:58:38Z</dcterms:modified>
  <cp:category/>
  <cp:contentStatus/>
</cp:coreProperties>
</file>