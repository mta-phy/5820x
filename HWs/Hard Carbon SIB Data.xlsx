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ce\Downloads\"/>
    </mc:Choice>
  </mc:AlternateContent>
  <xr:revisionPtr revIDLastSave="0" documentId="8_{414CE81C-1758-4A1C-90C2-896673197132}" xr6:coauthVersionLast="47" xr6:coauthVersionMax="47" xr10:uidLastSave="{00000000-0000-0000-0000-000000000000}"/>
  <bookViews>
    <workbookView xWindow="-110" yWindow="-110" windowWidth="25820" windowHeight="15500" tabRatio="733" xr2:uid="{00000000-000D-0000-FFFF-FFFF00000000}"/>
  </bookViews>
  <sheets>
    <sheet name="SIB DATA" sheetId="1" r:id="rId1"/>
    <sheet name="Rate Tests" sheetId="3" r:id="rId2"/>
    <sheet name="Raman Deconv and XRD " sheetId="5" r:id="rId3"/>
    <sheet name="Graph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H60" i="1"/>
  <c r="H61" i="1"/>
  <c r="H62" i="1"/>
  <c r="Q5" i="5"/>
  <c r="Q6" i="5"/>
  <c r="Q7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9" i="5"/>
  <c r="Q81" i="5"/>
  <c r="Q82" i="5"/>
  <c r="Q87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25" i="5"/>
  <c r="Q126" i="5"/>
  <c r="Q127" i="5"/>
  <c r="Q128" i="5"/>
  <c r="Q130" i="5"/>
  <c r="Q131" i="5"/>
  <c r="Q132" i="5"/>
  <c r="Q133" i="5"/>
  <c r="Q4" i="5"/>
  <c r="P132" i="5"/>
  <c r="P133" i="5"/>
  <c r="O132" i="5"/>
  <c r="O133" i="5"/>
  <c r="P131" i="5"/>
  <c r="O131" i="5"/>
  <c r="Z133" i="1"/>
  <c r="Z131" i="1"/>
  <c r="V131" i="1"/>
  <c r="S131" i="1"/>
  <c r="T131" i="1" s="1"/>
  <c r="V133" i="1"/>
  <c r="V132" i="1"/>
  <c r="S133" i="1"/>
  <c r="T133" i="1" s="1"/>
  <c r="S132" i="1"/>
  <c r="T132" i="1" s="1"/>
  <c r="Z132" i="1"/>
  <c r="P126" i="5"/>
  <c r="P127" i="5"/>
  <c r="P128" i="5"/>
  <c r="P130" i="5"/>
  <c r="O126" i="5"/>
  <c r="O127" i="5"/>
  <c r="O128" i="5"/>
  <c r="O130" i="5"/>
  <c r="P125" i="5"/>
  <c r="O125" i="5"/>
  <c r="P105" i="5"/>
  <c r="P106" i="5"/>
  <c r="P107" i="5"/>
  <c r="P108" i="5"/>
  <c r="P109" i="5"/>
  <c r="P110" i="5"/>
  <c r="O105" i="5"/>
  <c r="O106" i="5"/>
  <c r="O107" i="5"/>
  <c r="O108" i="5"/>
  <c r="O109" i="5"/>
  <c r="O110" i="5"/>
  <c r="P104" i="5"/>
  <c r="O104" i="5"/>
  <c r="P103" i="5"/>
  <c r="O103" i="5"/>
  <c r="P101" i="5"/>
  <c r="P102" i="5"/>
  <c r="O101" i="5"/>
  <c r="O102" i="5"/>
  <c r="P97" i="5"/>
  <c r="P98" i="5"/>
  <c r="P99" i="5"/>
  <c r="P100" i="5"/>
  <c r="O97" i="5"/>
  <c r="O98" i="5"/>
  <c r="O99" i="5"/>
  <c r="O100" i="5"/>
  <c r="P93" i="5"/>
  <c r="P94" i="5"/>
  <c r="P95" i="5"/>
  <c r="P96" i="5"/>
  <c r="O93" i="5"/>
  <c r="O94" i="5"/>
  <c r="O95" i="5"/>
  <c r="O96" i="5"/>
  <c r="P92" i="5"/>
  <c r="O92" i="5"/>
  <c r="P87" i="5"/>
  <c r="O87" i="5"/>
  <c r="P82" i="5"/>
  <c r="O82" i="5"/>
  <c r="P81" i="5"/>
  <c r="O81" i="5"/>
  <c r="P79" i="5"/>
  <c r="O79" i="5"/>
  <c r="P73" i="5"/>
  <c r="O73" i="5"/>
  <c r="P71" i="5"/>
  <c r="P72" i="5"/>
  <c r="O71" i="5"/>
  <c r="O72" i="5"/>
  <c r="P70" i="5"/>
  <c r="O70" i="5"/>
  <c r="P69" i="5"/>
  <c r="O69" i="5"/>
  <c r="P68" i="5"/>
  <c r="O68" i="5"/>
  <c r="P67" i="5"/>
  <c r="O67" i="5"/>
  <c r="P66" i="5"/>
  <c r="O66" i="5"/>
  <c r="P65" i="5"/>
  <c r="O65" i="5"/>
  <c r="P64" i="5"/>
  <c r="O64" i="5"/>
  <c r="P63" i="5"/>
  <c r="O63" i="5"/>
  <c r="O60" i="5"/>
  <c r="O61" i="5"/>
  <c r="O62" i="5"/>
  <c r="P60" i="5"/>
  <c r="P61" i="5"/>
  <c r="P62" i="5"/>
  <c r="P59" i="5"/>
  <c r="O59" i="5"/>
  <c r="P56" i="5"/>
  <c r="P57" i="5"/>
  <c r="P58" i="5"/>
  <c r="O56" i="5"/>
  <c r="O57" i="5"/>
  <c r="O58" i="5"/>
  <c r="P55" i="5"/>
  <c r="O55" i="5"/>
  <c r="P52" i="5"/>
  <c r="P53" i="5"/>
  <c r="P54" i="5"/>
  <c r="O52" i="5"/>
  <c r="O53" i="5"/>
  <c r="O54" i="5"/>
  <c r="O48" i="5"/>
  <c r="O49" i="5"/>
  <c r="O50" i="5"/>
  <c r="O51" i="5"/>
  <c r="P47" i="5"/>
  <c r="P48" i="5"/>
  <c r="P49" i="5"/>
  <c r="P50" i="5"/>
  <c r="P51" i="5"/>
  <c r="O47" i="5"/>
  <c r="P46" i="5"/>
  <c r="O46" i="5"/>
  <c r="P44" i="5"/>
  <c r="P45" i="5"/>
  <c r="O44" i="5"/>
  <c r="O45" i="5"/>
  <c r="O43" i="5"/>
  <c r="P42" i="5"/>
  <c r="P43" i="5"/>
  <c r="O42" i="5"/>
  <c r="P41" i="5"/>
  <c r="O41" i="5"/>
  <c r="P40" i="5"/>
  <c r="O40" i="5"/>
  <c r="P37" i="5"/>
  <c r="P38" i="5"/>
  <c r="P39" i="5"/>
  <c r="O37" i="5"/>
  <c r="O38" i="5"/>
  <c r="O39" i="5"/>
  <c r="P36" i="5"/>
  <c r="O36" i="5"/>
  <c r="P35" i="5"/>
  <c r="O35" i="5"/>
  <c r="P34" i="5"/>
  <c r="O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P17" i="5"/>
  <c r="P18" i="5"/>
  <c r="O17" i="5"/>
  <c r="O18" i="5"/>
  <c r="P13" i="5"/>
  <c r="P14" i="5"/>
  <c r="P15" i="5"/>
  <c r="P16" i="5"/>
  <c r="O13" i="5"/>
  <c r="O14" i="5"/>
  <c r="O15" i="5"/>
  <c r="O16" i="5"/>
  <c r="P12" i="5" l="1"/>
  <c r="O12" i="5"/>
  <c r="P7" i="5"/>
  <c r="O7" i="5"/>
  <c r="P6" i="5"/>
  <c r="O6" i="5"/>
  <c r="P5" i="5"/>
  <c r="O5" i="5"/>
  <c r="P4" i="5"/>
  <c r="O4" i="5"/>
  <c r="Z130" i="1"/>
  <c r="C38" i="3"/>
  <c r="D38" i="3"/>
  <c r="E38" i="3"/>
  <c r="F38" i="3"/>
  <c r="G38" i="3"/>
  <c r="H38" i="3"/>
  <c r="I38" i="3"/>
  <c r="J38" i="3"/>
  <c r="K38" i="3"/>
  <c r="L38" i="3"/>
  <c r="M38" i="3"/>
  <c r="N38" i="3"/>
  <c r="B38" i="3"/>
  <c r="Z125" i="1"/>
  <c r="Z126" i="1"/>
  <c r="Z127" i="1"/>
  <c r="Z128" i="1"/>
  <c r="U129" i="1"/>
  <c r="T129" i="1"/>
  <c r="S129" i="1" s="1"/>
  <c r="U125" i="1"/>
  <c r="U126" i="1"/>
  <c r="U127" i="1"/>
  <c r="U128" i="1"/>
  <c r="T126" i="1"/>
  <c r="S126" i="1" s="1"/>
  <c r="T127" i="1"/>
  <c r="S127" i="1" s="1"/>
  <c r="T128" i="1"/>
  <c r="S128" i="1" s="1"/>
  <c r="T125" i="1"/>
  <c r="S125" i="1" s="1"/>
  <c r="R120" i="1"/>
  <c r="V120" i="1" s="1"/>
  <c r="R114" i="1"/>
  <c r="R121" i="1"/>
  <c r="T121" i="1" s="1"/>
  <c r="R122" i="1"/>
  <c r="T122" i="1" s="1"/>
  <c r="R123" i="1"/>
  <c r="T123" i="1" s="1"/>
  <c r="R124" i="1"/>
  <c r="V124" i="1" s="1"/>
  <c r="R113" i="1"/>
  <c r="R115" i="1"/>
  <c r="R112" i="1"/>
  <c r="V112" i="1" s="1"/>
  <c r="R111" i="1"/>
  <c r="V111" i="1" s="1"/>
  <c r="V119" i="1"/>
  <c r="S119" i="1"/>
  <c r="T119" i="1" s="1"/>
  <c r="V118" i="1"/>
  <c r="S118" i="1"/>
  <c r="T118" i="1" s="1"/>
  <c r="V116" i="1"/>
  <c r="V117" i="1"/>
  <c r="S116" i="1"/>
  <c r="T116" i="1" s="1"/>
  <c r="S117" i="1"/>
  <c r="T117" i="1" s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11" i="1"/>
  <c r="S97" i="1"/>
  <c r="T97" i="1" s="1"/>
  <c r="S98" i="1"/>
  <c r="T98" i="1" s="1"/>
  <c r="S99" i="1"/>
  <c r="T99" i="1" s="1"/>
  <c r="S100" i="1"/>
  <c r="T100" i="1" s="1"/>
  <c r="V97" i="1"/>
  <c r="V98" i="1"/>
  <c r="V99" i="1"/>
  <c r="V100" i="1"/>
  <c r="Z95" i="1"/>
  <c r="Z93" i="1"/>
  <c r="Z92" i="1"/>
  <c r="Z94" i="1"/>
  <c r="Z96" i="1"/>
  <c r="V93" i="1"/>
  <c r="V94" i="1"/>
  <c r="V95" i="1"/>
  <c r="V96" i="1"/>
  <c r="S93" i="1"/>
  <c r="T93" i="1" s="1"/>
  <c r="S94" i="1"/>
  <c r="T94" i="1" s="1"/>
  <c r="S95" i="1"/>
  <c r="T95" i="1" s="1"/>
  <c r="S96" i="1"/>
  <c r="T96" i="1" s="1"/>
  <c r="S92" i="1"/>
  <c r="T92" i="1" s="1"/>
  <c r="V92" i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03" i="1"/>
  <c r="T103" i="1" s="1"/>
  <c r="V104" i="1"/>
  <c r="V105" i="1"/>
  <c r="V106" i="1"/>
  <c r="V107" i="1"/>
  <c r="V108" i="1"/>
  <c r="V109" i="1"/>
  <c r="V110" i="1"/>
  <c r="V103" i="1"/>
  <c r="T120" i="1" l="1"/>
  <c r="T112" i="1"/>
  <c r="V121" i="1"/>
  <c r="V123" i="1"/>
  <c r="V122" i="1"/>
  <c r="T124" i="1"/>
  <c r="T111" i="1"/>
  <c r="Z102" i="1"/>
  <c r="Z91" i="1"/>
  <c r="Z90" i="1"/>
  <c r="Z88" i="1"/>
  <c r="Z89" i="1"/>
  <c r="Z87" i="1"/>
  <c r="V80" i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V79" i="1"/>
  <c r="V81" i="1"/>
  <c r="V82" i="1"/>
  <c r="V83" i="1"/>
  <c r="V84" i="1"/>
  <c r="V85" i="1"/>
  <c r="V86" i="1"/>
  <c r="Z75" i="1"/>
  <c r="Z76" i="1"/>
  <c r="Z77" i="1"/>
  <c r="Z78" i="1"/>
  <c r="Z74" i="1"/>
  <c r="V75" i="1"/>
  <c r="V76" i="1"/>
  <c r="V77" i="1"/>
  <c r="V78" i="1"/>
  <c r="S75" i="1"/>
  <c r="T75" i="1" s="1"/>
  <c r="S76" i="1"/>
  <c r="T76" i="1" s="1"/>
  <c r="S77" i="1"/>
  <c r="T77" i="1" s="1"/>
  <c r="S78" i="1"/>
  <c r="T78" i="1" s="1"/>
  <c r="S74" i="1"/>
  <c r="T74" i="1" s="1"/>
  <c r="V74" i="1"/>
  <c r="V72" i="1"/>
  <c r="V73" i="1"/>
  <c r="V71" i="1"/>
  <c r="T73" i="1"/>
  <c r="T72" i="1"/>
  <c r="T71" i="1"/>
  <c r="Z70" i="1"/>
  <c r="Z66" i="1"/>
  <c r="Z67" i="1"/>
  <c r="Z68" i="1"/>
  <c r="Z69" i="1"/>
  <c r="U67" i="1"/>
  <c r="V67" i="1" s="1"/>
  <c r="U68" i="1"/>
  <c r="V68" i="1" s="1"/>
  <c r="U69" i="1"/>
  <c r="V69" i="1" s="1"/>
  <c r="U70" i="1"/>
  <c r="V70" i="1" s="1"/>
  <c r="U66" i="1"/>
  <c r="V66" i="1" s="1"/>
  <c r="T66" i="1"/>
  <c r="T67" i="1"/>
  <c r="T68" i="1"/>
  <c r="T69" i="1"/>
  <c r="T70" i="1"/>
  <c r="Z65" i="1"/>
  <c r="Z64" i="1"/>
  <c r="V64" i="1"/>
  <c r="V65" i="1"/>
  <c r="S64" i="1"/>
  <c r="T64" i="1" s="1"/>
  <c r="S65" i="1"/>
  <c r="T65" i="1" s="1"/>
  <c r="S63" i="1" l="1"/>
  <c r="T63" i="1" s="1"/>
  <c r="V63" i="1"/>
  <c r="Z63" i="1"/>
  <c r="T60" i="1"/>
  <c r="T61" i="1"/>
  <c r="T62" i="1"/>
  <c r="T59" i="1"/>
  <c r="U60" i="1"/>
  <c r="V60" i="1" s="1"/>
  <c r="U61" i="1"/>
  <c r="V61" i="1" s="1"/>
  <c r="U62" i="1"/>
  <c r="V62" i="1" s="1"/>
  <c r="U59" i="1"/>
  <c r="V59" i="1" s="1"/>
  <c r="Z55" i="1"/>
  <c r="Z56" i="1"/>
  <c r="Z57" i="1"/>
  <c r="Z58" i="1"/>
  <c r="U56" i="1"/>
  <c r="U57" i="1"/>
  <c r="U58" i="1"/>
  <c r="U55" i="1"/>
  <c r="T56" i="1"/>
  <c r="S56" i="1" s="1"/>
  <c r="T57" i="1"/>
  <c r="S57" i="1" s="1"/>
  <c r="T58" i="1"/>
  <c r="S58" i="1" s="1"/>
  <c r="T55" i="1"/>
  <c r="S55" i="1" s="1"/>
  <c r="Z52" i="1"/>
  <c r="Z53" i="1"/>
  <c r="Z54" i="1"/>
  <c r="S52" i="1"/>
  <c r="T52" i="1" s="1"/>
  <c r="S53" i="1"/>
  <c r="T53" i="1" s="1"/>
  <c r="S54" i="1"/>
  <c r="T54" i="1" s="1"/>
  <c r="V52" i="1"/>
  <c r="V53" i="1"/>
  <c r="V54" i="1"/>
  <c r="Z46" i="1"/>
  <c r="Z47" i="1"/>
  <c r="Z48" i="1"/>
  <c r="Z49" i="1"/>
  <c r="Z50" i="1"/>
  <c r="Z51" i="1"/>
  <c r="S51" i="1"/>
  <c r="T51" i="1" s="1"/>
  <c r="S46" i="1"/>
  <c r="T46" i="1" s="1"/>
  <c r="S47" i="1"/>
  <c r="T47" i="1" s="1"/>
  <c r="S48" i="1"/>
  <c r="T48" i="1" s="1"/>
  <c r="S49" i="1"/>
  <c r="T49" i="1" s="1"/>
  <c r="V51" i="1"/>
  <c r="S50" i="1"/>
  <c r="T50" i="1" s="1"/>
  <c r="V46" i="1"/>
  <c r="V47" i="1"/>
  <c r="V48" i="1"/>
  <c r="V49" i="1"/>
  <c r="V50" i="1"/>
  <c r="Z43" i="1"/>
  <c r="Z44" i="1"/>
  <c r="Z45" i="1"/>
  <c r="Z42" i="1"/>
  <c r="T42" i="1"/>
  <c r="T43" i="1"/>
  <c r="T44" i="1"/>
  <c r="T45" i="1"/>
  <c r="U43" i="1"/>
  <c r="V43" i="1" s="1"/>
  <c r="U44" i="1"/>
  <c r="V44" i="1" s="1"/>
  <c r="U45" i="1"/>
  <c r="V45" i="1" s="1"/>
  <c r="U42" i="1"/>
  <c r="V42" i="1" s="1"/>
  <c r="V41" i="1"/>
  <c r="S41" i="1"/>
  <c r="T41" i="1" s="1"/>
  <c r="V40" i="1"/>
  <c r="T40" i="1"/>
  <c r="T37" i="1"/>
  <c r="T38" i="1"/>
  <c r="T39" i="1"/>
  <c r="U38" i="1"/>
  <c r="V38" i="1" s="1"/>
  <c r="U39" i="1"/>
  <c r="V39" i="1" s="1"/>
  <c r="U37" i="1"/>
  <c r="V37" i="1" s="1"/>
  <c r="Z35" i="1"/>
  <c r="Z36" i="1"/>
  <c r="Z34" i="1"/>
  <c r="S12" i="1"/>
  <c r="T12" i="1" s="1"/>
  <c r="V12" i="1"/>
  <c r="S35" i="1"/>
  <c r="T35" i="1" s="1"/>
  <c r="S34" i="1"/>
  <c r="T34" i="1" s="1"/>
  <c r="S36" i="1"/>
  <c r="T36" i="1" s="1"/>
  <c r="V34" i="1"/>
  <c r="V35" i="1"/>
  <c r="V36" i="1"/>
  <c r="U32" i="1"/>
  <c r="V32" i="1" s="1"/>
  <c r="U33" i="1"/>
  <c r="V33" i="1" s="1"/>
  <c r="U31" i="1"/>
  <c r="V31" i="1" s="1"/>
  <c r="T33" i="1"/>
  <c r="T32" i="1"/>
  <c r="T31" i="1"/>
  <c r="V22" i="1"/>
  <c r="V23" i="1"/>
  <c r="V24" i="1"/>
  <c r="V25" i="1"/>
  <c r="V26" i="1"/>
  <c r="V27" i="1"/>
  <c r="V28" i="1"/>
  <c r="V29" i="1"/>
  <c r="V30" i="1"/>
  <c r="V21" i="1"/>
  <c r="T22" i="1"/>
  <c r="T23" i="1"/>
  <c r="T24" i="1"/>
  <c r="T25" i="1"/>
  <c r="T26" i="1"/>
  <c r="T27" i="1"/>
  <c r="T28" i="1"/>
  <c r="T29" i="1"/>
  <c r="T30" i="1"/>
  <c r="T21" i="1"/>
  <c r="Z17" i="1"/>
  <c r="Z20" i="1"/>
  <c r="Z19" i="1"/>
  <c r="R18" i="1"/>
  <c r="V18" i="1" s="1"/>
  <c r="R19" i="1"/>
  <c r="V19" i="1" s="1"/>
  <c r="R20" i="1"/>
  <c r="V20" i="1" s="1"/>
  <c r="R17" i="1"/>
  <c r="V17" i="1" s="1"/>
  <c r="Z14" i="1"/>
  <c r="Z15" i="1"/>
  <c r="Z16" i="1"/>
  <c r="Z13" i="1"/>
  <c r="U13" i="1"/>
  <c r="S13" i="1"/>
  <c r="U15" i="1"/>
  <c r="U16" i="1"/>
  <c r="U14" i="1"/>
  <c r="S15" i="1"/>
  <c r="S16" i="1"/>
  <c r="S14" i="1"/>
  <c r="Z18" i="1"/>
  <c r="Z12" i="1"/>
  <c r="V11" i="1"/>
  <c r="S11" i="1"/>
  <c r="T11" i="1" s="1"/>
  <c r="V10" i="1"/>
  <c r="S10" i="1"/>
  <c r="T10" i="1" s="1"/>
  <c r="V9" i="1"/>
  <c r="S9" i="1"/>
  <c r="T9" i="1" s="1"/>
  <c r="V8" i="1"/>
  <c r="S8" i="1"/>
  <c r="T8" i="1" s="1"/>
  <c r="Z7" i="1"/>
  <c r="V7" i="1"/>
  <c r="S7" i="1"/>
  <c r="T7" i="1" s="1"/>
  <c r="Z6" i="1"/>
  <c r="R6" i="1"/>
  <c r="T6" i="1" s="1"/>
  <c r="Z5" i="1"/>
  <c r="V5" i="1"/>
  <c r="S5" i="1"/>
  <c r="T5" i="1" s="1"/>
  <c r="Z4" i="1"/>
  <c r="V4" i="1"/>
  <c r="T4" i="1"/>
  <c r="T17" i="1" l="1"/>
  <c r="T20" i="1"/>
  <c r="T19" i="1"/>
  <c r="T18" i="1"/>
  <c r="V6" i="1"/>
  <c r="V114" i="1"/>
  <c r="V115" i="1"/>
  <c r="T115" i="1"/>
  <c r="T114" i="1"/>
  <c r="V113" i="1"/>
  <c r="T113" i="1"/>
</calcChain>
</file>

<file path=xl/sharedStrings.xml><?xml version="1.0" encoding="utf-8"?>
<sst xmlns="http://schemas.openxmlformats.org/spreadsheetml/2006/main" count="1133" uniqueCount="298">
  <si>
    <t>Sample Name</t>
  </si>
  <si>
    <t>Electrolyte</t>
  </si>
  <si>
    <t>Anode Components</t>
  </si>
  <si>
    <t>Hard Carbon Characterization</t>
  </si>
  <si>
    <t>Galvanostatic Charge/Discharge</t>
  </si>
  <si>
    <t>Capacity</t>
  </si>
  <si>
    <t>red = extracted from graph/calculated based on graph</t>
  </si>
  <si>
    <t>Solvent</t>
  </si>
  <si>
    <t>Solute</t>
  </si>
  <si>
    <t>HC Precusor</t>
  </si>
  <si>
    <t>Binder + wt%</t>
  </si>
  <si>
    <t>Conductive C wt%</t>
  </si>
  <si>
    <t>Carbonization Temp (°C)</t>
  </si>
  <si>
    <r>
      <t>I</t>
    </r>
    <r>
      <rPr>
        <vertAlign val="subscript"/>
        <sz val="10"/>
        <color theme="1"/>
        <rFont val="Arial"/>
        <family val="2"/>
        <scheme val="minor"/>
      </rPr>
      <t>D</t>
    </r>
    <r>
      <rPr>
        <sz val="10"/>
        <color theme="1"/>
        <rFont val="Arial"/>
        <family val="2"/>
        <scheme val="minor"/>
      </rPr>
      <t>/I</t>
    </r>
    <r>
      <rPr>
        <vertAlign val="subscript"/>
        <sz val="10"/>
        <color theme="1"/>
        <rFont val="Arial"/>
        <family val="2"/>
        <scheme val="minor"/>
      </rPr>
      <t>G</t>
    </r>
    <r>
      <rPr>
        <sz val="10"/>
        <color theme="1"/>
        <rFont val="Arial"/>
        <family val="2"/>
        <scheme val="minor"/>
      </rPr>
      <t xml:space="preserve"> Ratio</t>
    </r>
  </si>
  <si>
    <t>Interlayer Spacing (Å)</t>
  </si>
  <si>
    <r>
      <t>Specific surface Area (m</t>
    </r>
    <r>
      <rPr>
        <vertAlign val="superscript"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/g)</t>
    </r>
  </si>
  <si>
    <r>
      <t>Pore Volume (cm</t>
    </r>
    <r>
      <rPr>
        <vertAlign val="superscript"/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family val="2"/>
        <scheme val="minor"/>
      </rPr>
      <t>/g)</t>
    </r>
  </si>
  <si>
    <t>Avg Pore Diameter (nm)</t>
  </si>
  <si>
    <t>Graphitic Domain Size by XRD</t>
  </si>
  <si>
    <t>Current (mA/g)</t>
  </si>
  <si>
    <t>Max Voltage</t>
  </si>
  <si>
    <t>ICE (%)</t>
  </si>
  <si>
    <t>Reversible Capacity (mAh/g)</t>
  </si>
  <si>
    <t>Slope Capacity</t>
  </si>
  <si>
    <t>Plateau Capacity</t>
  </si>
  <si>
    <t>Rate Test?</t>
  </si>
  <si>
    <t>Capacity at 100 mA/g (mAh/g)</t>
  </si>
  <si>
    <t>Capacity at 1000 mA/g (mAh/g)</t>
  </si>
  <si>
    <r>
      <rPr>
        <u/>
        <sz val="10"/>
        <color theme="1"/>
        <rFont val="Arial"/>
        <family val="2"/>
      </rPr>
      <t xml:space="preserve">1000 mA/g </t>
    </r>
    <r>
      <rPr>
        <sz val="10"/>
        <color theme="1"/>
        <rFont val="Arial"/>
        <family val="2"/>
      </rPr>
      <t xml:space="preserve">         100 mA/g</t>
    </r>
  </si>
  <si>
    <r>
      <t>L</t>
    </r>
    <r>
      <rPr>
        <vertAlign val="sub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 (nm) </t>
    </r>
    <r>
      <rPr>
        <sz val="9"/>
        <color theme="1"/>
        <rFont val="Arial"/>
        <family val="2"/>
      </rPr>
      <t>(width) (from d</t>
    </r>
    <r>
      <rPr>
        <vertAlign val="subscript"/>
        <sz val="9"/>
        <color theme="1"/>
        <rFont val="Arial"/>
        <family val="2"/>
      </rPr>
      <t>100</t>
    </r>
    <r>
      <rPr>
        <sz val="10"/>
        <color theme="1"/>
        <rFont val="Arial"/>
        <family val="2"/>
      </rPr>
      <t>)</t>
    </r>
  </si>
  <si>
    <r>
      <t>L</t>
    </r>
    <r>
      <rPr>
        <vertAlign val="sub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(nm)</t>
    </r>
    <r>
      <rPr>
        <sz val="9"/>
        <color theme="1"/>
        <rFont val="Arial"/>
        <family val="2"/>
      </rPr>
      <t xml:space="preserve"> (depth) (from d</t>
    </r>
    <r>
      <rPr>
        <vertAlign val="subscript"/>
        <sz val="9"/>
        <color theme="1"/>
        <rFont val="Arial"/>
        <family val="2"/>
      </rPr>
      <t>002</t>
    </r>
    <r>
      <rPr>
        <sz val="9"/>
        <color theme="1"/>
        <rFont val="Arial"/>
        <family val="2"/>
      </rPr>
      <t>)</t>
    </r>
  </si>
  <si>
    <t>(mAh/g)</t>
  </si>
  <si>
    <t>(%)</t>
  </si>
  <si>
    <t>Source</t>
  </si>
  <si>
    <t>M9005</t>
  </si>
  <si>
    <t>100% DEGDME</t>
  </si>
  <si>
    <t>1 M NaPF6</t>
  </si>
  <si>
    <t>Sucrose</t>
  </si>
  <si>
    <t>CMC 10%</t>
  </si>
  <si>
    <t>Yes</t>
  </si>
  <si>
    <t>Ultrafast synthesis of hard carbon anodes for sodium-ion batteries | PNAS</t>
  </si>
  <si>
    <t>M11005</t>
  </si>
  <si>
    <t>M13005</t>
  </si>
  <si>
    <t>TF1100</t>
  </si>
  <si>
    <t>C</t>
  </si>
  <si>
    <t>50% EC + 50% DEC</t>
  </si>
  <si>
    <t>1 M NaClO4</t>
  </si>
  <si>
    <t>Coal</t>
  </si>
  <si>
    <t>Ogunsakin et al 2023.pdf | Powered by Box</t>
  </si>
  <si>
    <t>m.C</t>
  </si>
  <si>
    <t>DC</t>
  </si>
  <si>
    <t>m.DC</t>
  </si>
  <si>
    <t>D-Glucose HC</t>
  </si>
  <si>
    <t>49% EC + 49% DEC + 2% FEC</t>
  </si>
  <si>
    <t>1 M NaClO4</t>
  </si>
  <si>
    <t>D-Glucose</t>
  </si>
  <si>
    <t>PVDF 10%</t>
  </si>
  <si>
    <t>Facile and large-scalable synthesis of low cost hard carbon anode for sodium-ion batteries - ScienceDirect</t>
  </si>
  <si>
    <t>T-SBC-1300</t>
  </si>
  <si>
    <t>Baterial Celulose</t>
  </si>
  <si>
    <t>Insights into sodium-ion batteries through plateau and slope regions in cyclic voltammetry by tailoring bacterial cellulose precursors - ScienceDirect</t>
  </si>
  <si>
    <t>SBC-1300</t>
  </si>
  <si>
    <r>
      <rPr>
        <u/>
        <sz val="10"/>
        <color rgb="FF1155CC"/>
        <rFont val="Arial"/>
        <family val="2"/>
      </rPr>
      <t>Insights into sodium-ion batteries through plateau and slope regions in cyclic voltammetry by tailoring bacterial cellulose precursors - ScienceDirect</t>
    </r>
  </si>
  <si>
    <t>T-BC-1300</t>
  </si>
  <si>
    <t>BC-1300</t>
  </si>
  <si>
    <t>PGY-800</t>
  </si>
  <si>
    <t>Dandelion</t>
  </si>
  <si>
    <r>
      <rPr>
        <u/>
        <sz val="10"/>
        <color rgb="FF1155CC"/>
        <rFont val="Arial"/>
        <family val="2"/>
      </rPr>
      <t>Controlling pseudographtic domain dimension of dandelion derived biomass carbon for excellent sodium-ion storage - ScienceDirect</t>
    </r>
    <r>
      <rPr>
        <sz val="10"/>
        <color rgb="FF000000"/>
        <rFont val="Arial"/>
        <family val="2"/>
        <scheme val="minor"/>
      </rPr>
      <t xml:space="preserve"> </t>
    </r>
  </si>
  <si>
    <t>PGY-1000</t>
  </si>
  <si>
    <t>PGY-1200</t>
  </si>
  <si>
    <t>PGY-1400</t>
  </si>
  <si>
    <t>seeds800</t>
  </si>
  <si>
    <t>Date Palms</t>
  </si>
  <si>
    <t>PANa 3%</t>
  </si>
  <si>
    <t>No</t>
  </si>
  <si>
    <t>Hard carbons issued from date palm as efficient anode materials for sodium-ion batteries - ScienceDirect</t>
  </si>
  <si>
    <t>seeds1000</t>
  </si>
  <si>
    <t>seeds1200</t>
  </si>
  <si>
    <t>seeds1300</t>
  </si>
  <si>
    <t>seeds1400</t>
  </si>
  <si>
    <t>pulp800</t>
  </si>
  <si>
    <t>pulp1000</t>
  </si>
  <si>
    <t>pulp1200</t>
  </si>
  <si>
    <t>pulp1300</t>
  </si>
  <si>
    <t>pulp1400</t>
  </si>
  <si>
    <t>HC-W</t>
  </si>
  <si>
    <t>100% Diglyme</t>
  </si>
  <si>
    <t>Walnut Shell</t>
  </si>
  <si>
    <t>Hard carbon derived from coconut shells, walnut shells, and corn silk biomass waste exhibiting high capacity for Na-ion batteries</t>
  </si>
  <si>
    <t>HC-C</t>
  </si>
  <si>
    <t>Coconut Shell</t>
  </si>
  <si>
    <t>HC-S</t>
  </si>
  <si>
    <t>Corn Silk</t>
  </si>
  <si>
    <t>LS1000</t>
  </si>
  <si>
    <t>98% PC + 2% FEC</t>
  </si>
  <si>
    <t>Lotus Seedpods</t>
  </si>
  <si>
    <t>Lotus Seedpod-Derived Hard Carbon with Hierarchical Porous Structure as Stable Anode for Sodium-Ion Batteries | ACS Applied Materials &amp; Interfaces</t>
  </si>
  <si>
    <t>LS1200</t>
  </si>
  <si>
    <t>LS1400</t>
  </si>
  <si>
    <t>HC-P</t>
  </si>
  <si>
    <t>50% EC + 50% PC</t>
  </si>
  <si>
    <t>Peanut Shell</t>
  </si>
  <si>
    <t>Biomass derived hard carbon materials for sodium ion battery anodes: Exploring the influence of carbon source on structure and sodium storage performance - ScienceDirect</t>
  </si>
  <si>
    <t>Coffee Ground</t>
  </si>
  <si>
    <t>Sugarcane</t>
  </si>
  <si>
    <t>RFC</t>
  </si>
  <si>
    <t>Ramie Fiber</t>
  </si>
  <si>
    <t>Biomass carbon micro/nano-structures derived from ramie fibers and corncobs as anode materials for lithium-ion and sodium-ion batteries - ScienceDirect</t>
  </si>
  <si>
    <t>CC</t>
  </si>
  <si>
    <t>Corncob</t>
  </si>
  <si>
    <t>WSC-1000</t>
  </si>
  <si>
    <t>100% DME</t>
  </si>
  <si>
    <t>Wallnut Shell</t>
  </si>
  <si>
    <t>PTFE 10%</t>
  </si>
  <si>
    <t>Regulating microstructure of walnut shell-derived hard carbon for high rate and long cycling sodium-based dual-ion batteries - ScienceDirect</t>
  </si>
  <si>
    <t>WSC-1200</t>
  </si>
  <si>
    <t>WSC-1400</t>
  </si>
  <si>
    <t>WSC-1600</t>
  </si>
  <si>
    <t>BPPG-800</t>
  </si>
  <si>
    <t>Banana Peel</t>
  </si>
  <si>
    <t>High-Density Sodium and Lithium Ion Battery Anodes from Banana Peels | ACS Nano</t>
  </si>
  <si>
    <t>BPPG-1400</t>
  </si>
  <si>
    <t>BPPG-800-A</t>
  </si>
  <si>
    <t>BPPG-1100-A</t>
  </si>
  <si>
    <t>BPPG-1400-A</t>
  </si>
  <si>
    <t>RHHC-1100</t>
  </si>
  <si>
    <t>Rice Husk</t>
  </si>
  <si>
    <t>Rice husk-derived hard carbons as high-performance anode materials for sodium-ion batteries - ScienceDirect</t>
  </si>
  <si>
    <t>RHHC-1300</t>
  </si>
  <si>
    <t>RHHC-1500</t>
  </si>
  <si>
    <t>RS-900</t>
  </si>
  <si>
    <t>Reed Straw</t>
  </si>
  <si>
    <t>CMC 5%</t>
  </si>
  <si>
    <t>Facile hydrothermal treatment route of reed straw-derived hard carbon for high performance sodium ion battery - ScienceDirect</t>
  </si>
  <si>
    <t>RS-1100</t>
  </si>
  <si>
    <t>RS-1300</t>
  </si>
  <si>
    <t>RS-1500</t>
  </si>
  <si>
    <t>PSDHCs-0</t>
  </si>
  <si>
    <t>Lath-shaped biomass derived hard carbon as anode materials with super rate capability for sodium-ion batteries - ScienceDirect</t>
  </si>
  <si>
    <t>PSDHCs-2</t>
  </si>
  <si>
    <t>PSDHCs-4</t>
  </si>
  <si>
    <t>PSDHCs-6</t>
  </si>
  <si>
    <t>CP</t>
  </si>
  <si>
    <t>95% PC + 5% FEC</t>
  </si>
  <si>
    <t>Cherry Petals</t>
  </si>
  <si>
    <t>Expanded biomass-derived hard carbon with ultra-stable performance in sodium-ion batteries - Journal of Materials Chemistry A (RSC Publishing)</t>
  </si>
  <si>
    <t>BMC-900</t>
  </si>
  <si>
    <t>Wheat Straw</t>
  </si>
  <si>
    <t>A sustainable synthesis of biomass carbon sheets as excellent performance sodium ion batteries anode | Journal of Solid State Electrochemistry (springer.com)</t>
  </si>
  <si>
    <t>BMCS-1200</t>
  </si>
  <si>
    <t>LHA-900</t>
  </si>
  <si>
    <t>Lleonardite Humic Acid</t>
  </si>
  <si>
    <t>High-yield humic acid-based hard carbons as promising anode materials for sodium-ion batteries - ScienceDirect</t>
  </si>
  <si>
    <t>LHA-1100</t>
  </si>
  <si>
    <t>LHA-1300</t>
  </si>
  <si>
    <t>LHA-1500</t>
  </si>
  <si>
    <t>LHA-1600</t>
  </si>
  <si>
    <t>HCC1000</t>
  </si>
  <si>
    <t>50% EC + 50% DMC</t>
  </si>
  <si>
    <t>0.6 M NaPF6</t>
  </si>
  <si>
    <t>Sodium Alginate 5%</t>
  </si>
  <si>
    <t>A waste biomass derived hard carbon as a high-performance anode material for sodium-ion batteries - Journal of Materials Chemistry A (RSC Publishing) DOI:10.1039/C6TA04877C</t>
  </si>
  <si>
    <t>HCC1300</t>
  </si>
  <si>
    <t>HCC1600</t>
  </si>
  <si>
    <t>KHC-900</t>
  </si>
  <si>
    <t>Kelp</t>
  </si>
  <si>
    <t>Kelp-derived hard carbons as advanced anode materials for sodium-ion batteries - Journal of Materials Chemistry A (RSC Publishing)</t>
  </si>
  <si>
    <t>KHC-1100</t>
  </si>
  <si>
    <t>KHC-1300</t>
  </si>
  <si>
    <t>KHC-1500</t>
  </si>
  <si>
    <t>KHC-1600</t>
  </si>
  <si>
    <t>Argan-800</t>
  </si>
  <si>
    <t>Argan Nuts</t>
  </si>
  <si>
    <t>Synthesis of hard carbon from argan shells for Na-ion batteries - Journal of Materials Chemistry A (RSC Publishing)</t>
  </si>
  <si>
    <t>Argan-1000</t>
  </si>
  <si>
    <t>Argan-1200</t>
  </si>
  <si>
    <t>Argan-1300</t>
  </si>
  <si>
    <t>Argan-800W</t>
  </si>
  <si>
    <t>Argan-1000W</t>
  </si>
  <si>
    <t>Argan-1200W</t>
  </si>
  <si>
    <t>Argan-1300W</t>
  </si>
  <si>
    <t>*Apple HC*  no name given</t>
  </si>
  <si>
    <t>Apple Biowaste</t>
  </si>
  <si>
    <t>Apple‐Biowaste‐Derived Hard Carbon as a Powerful Anode Material for Na‐Ion Batteries - Wu - 2016 - ChemElectroChem - Wiley Online Library</t>
  </si>
  <si>
    <t>UC-1100</t>
  </si>
  <si>
    <t>50% DEG + DME 50%</t>
  </si>
  <si>
    <t>1 M NaCF3SO3</t>
  </si>
  <si>
    <t>Charcoal</t>
  </si>
  <si>
    <t>Waste-to-wealth: low-cost hard carbon anode derived from unburned charcoal with high capacity and long cycle life for sodium-ion/lithium-ion batteries - ScienceDirect</t>
  </si>
  <si>
    <t>UC-1200</t>
  </si>
  <si>
    <t>UC-1300</t>
  </si>
  <si>
    <t>UC-1400</t>
  </si>
  <si>
    <t>HCCS800</t>
  </si>
  <si>
    <t>Cucumber Stem</t>
  </si>
  <si>
    <t>Heteroatom-doped hierarchically porous carbons derived from cucumber stem as high-performance anodes for sodium-ion batteries | Journal of Materials Science (springer.com)</t>
  </si>
  <si>
    <t>HCCS900</t>
  </si>
  <si>
    <t>HCCS1000</t>
  </si>
  <si>
    <t>HCCS1100</t>
  </si>
  <si>
    <t>HCCS1000A</t>
  </si>
  <si>
    <t>HCF-1000</t>
  </si>
  <si>
    <t>Waste Paper</t>
  </si>
  <si>
    <t>Cost-effective and renewable paper derived hard carbon microfibers as superior anode for sodium-ion batteries - ScienceDirect</t>
  </si>
  <si>
    <t>HCF-1200</t>
  </si>
  <si>
    <t>HCF-1400</t>
  </si>
  <si>
    <t>HCF-1600</t>
  </si>
  <si>
    <t>HC-900</t>
  </si>
  <si>
    <t>0.8 M NaClO4</t>
  </si>
  <si>
    <t>Avacado Peel</t>
  </si>
  <si>
    <t>hard-carbon-derived-from-avocado-peels-as-a-high-capacity-high-performance-anode-material-for-sodium-ion-batteries.pdf</t>
  </si>
  <si>
    <t>HC-1100</t>
  </si>
  <si>
    <t>HC700</t>
  </si>
  <si>
    <t>Sodum polyacrylate 5%</t>
  </si>
  <si>
    <t>Structural Analysis of Sucrose-Derived Hard Carbon and Correlation with the Electrochemical Properties for Lithium, Sodium, and Potassium Insertion | Chemistry of Materials</t>
  </si>
  <si>
    <t>HC900</t>
  </si>
  <si>
    <t>HC1100</t>
  </si>
  <si>
    <t>HC1300</t>
  </si>
  <si>
    <t>HC1500</t>
  </si>
  <si>
    <t>HC1600</t>
  </si>
  <si>
    <t>HC1800</t>
  </si>
  <si>
    <t>HC2000</t>
  </si>
  <si>
    <t>CHCL-HC-1300</t>
  </si>
  <si>
    <t>Llignocellulose</t>
  </si>
  <si>
    <t>Structural Reconstruction of Lignocellulose toward Hard Carbons for Optimized Sodium-Ion Storage | ACS Applied Materials &amp; Interfaces</t>
  </si>
  <si>
    <t>CL-HC-1300</t>
  </si>
  <si>
    <t>Cellulose + Lignin</t>
  </si>
  <si>
    <t>CHC-HC-1300</t>
  </si>
  <si>
    <t>Holocellulose</t>
  </si>
  <si>
    <t>C-CH-1300</t>
  </si>
  <si>
    <t>Cellulose</t>
  </si>
  <si>
    <t>HC-HC-1300</t>
  </si>
  <si>
    <t>Hemicellulose</t>
  </si>
  <si>
    <t>B-HC-23.0</t>
  </si>
  <si>
    <t>Bamboo</t>
  </si>
  <si>
    <t>B-HC-16.5</t>
  </si>
  <si>
    <t>B-HC-5.5</t>
  </si>
  <si>
    <t>B-HC-1.5</t>
  </si>
  <si>
    <t>CHCL-HC-1600</t>
  </si>
  <si>
    <t>CL-HC-1600</t>
  </si>
  <si>
    <t>CHC-HC-1600</t>
  </si>
  <si>
    <t>C-CH-1600</t>
  </si>
  <si>
    <t>HC-HC-1600</t>
  </si>
  <si>
    <t>Capacities at Various Currents</t>
  </si>
  <si>
    <t>Sample</t>
  </si>
  <si>
    <t>ID/IG</t>
  </si>
  <si>
    <t>Specific surface Area (m^2/g)</t>
  </si>
  <si>
    <t>https://www.sciencedirect.com/science/article/pii/S0378775317306328#appsec1</t>
  </si>
  <si>
    <t>WSC–1200</t>
  </si>
  <si>
    <t>https://pubs.rsc.org/en/content/articlelanding/2018/ta/c7ta07951f</t>
  </si>
  <si>
    <t>Applemass HC</t>
  </si>
  <si>
    <t>(Capacity / Capacity at 100 mA)</t>
  </si>
  <si>
    <t>20 mA/g</t>
  </si>
  <si>
    <t>25 mA/g</t>
  </si>
  <si>
    <t>30 mA/g</t>
  </si>
  <si>
    <t>40 mA/g</t>
  </si>
  <si>
    <t>50 mA/g</t>
  </si>
  <si>
    <t>100 mA/g</t>
  </si>
  <si>
    <t>200 mA/g</t>
  </si>
  <si>
    <t>300 mA/g</t>
  </si>
  <si>
    <t>400 mA/g</t>
  </si>
  <si>
    <t>500 mA/g</t>
  </si>
  <si>
    <t>1000 mA/g</t>
  </si>
  <si>
    <t>2000 mA/g</t>
  </si>
  <si>
    <t>5000 mA/g</t>
  </si>
  <si>
    <t>Sodum polyacrylate 10%</t>
  </si>
  <si>
    <t>Facile synthesis of high performance hard carbon anode materials for sodium ion batteries - Journal of Materials Chemistry A (RSC Publishing)</t>
  </si>
  <si>
    <t>Shaddock Peel</t>
  </si>
  <si>
    <t>SP-800</t>
  </si>
  <si>
    <t>SP-1000</t>
  </si>
  <si>
    <t>SP-1200</t>
  </si>
  <si>
    <t>SP-1400</t>
  </si>
  <si>
    <t>High-temperature treatment induced carbon anode with ultrahigh Na storage capacity at low-voltage plateau - ScienceDirect</t>
  </si>
  <si>
    <t>Sodium Alginate 10%</t>
  </si>
  <si>
    <t>BPPG-1100</t>
  </si>
  <si>
    <t>log(current density)</t>
  </si>
  <si>
    <t>HDC</t>
  </si>
  <si>
    <t>Highly Disordered Carbon as a Superior Anode Material for Room‐Temperature Sodium‐Ion Batteries - Zhou - 2014 - ChemElectroChem - Wiley Online Library</t>
  </si>
  <si>
    <t>PDDA + PSS</t>
  </si>
  <si>
    <t>*Charcoal HC*</t>
  </si>
  <si>
    <t>Area</t>
  </si>
  <si>
    <t>G</t>
  </si>
  <si>
    <t>A</t>
  </si>
  <si>
    <t>TPA</t>
  </si>
  <si>
    <r>
      <t>Center [cm</t>
    </r>
    <r>
      <rPr>
        <b/>
        <vertAlign val="superscript"/>
        <sz val="10"/>
        <color rgb="FF000000"/>
        <rFont val="Arial"/>
        <family val="2"/>
        <scheme val="minor"/>
      </rPr>
      <t>-1</t>
    </r>
    <r>
      <rPr>
        <b/>
        <sz val="10"/>
        <color rgb="FF000000"/>
        <rFont val="Arial"/>
        <family val="2"/>
        <scheme val="minor"/>
      </rPr>
      <t>]</t>
    </r>
  </si>
  <si>
    <r>
      <t>R</t>
    </r>
    <r>
      <rPr>
        <b/>
        <vertAlign val="superscript"/>
        <sz val="12"/>
        <color rgb="FF000000"/>
        <rFont val="Arial"/>
        <family val="2"/>
        <scheme val="minor"/>
      </rPr>
      <t>2</t>
    </r>
  </si>
  <si>
    <t>D1</t>
  </si>
  <si>
    <r>
      <t>I</t>
    </r>
    <r>
      <rPr>
        <b/>
        <vertAlign val="subscript"/>
        <sz val="16"/>
        <color rgb="FF000000"/>
        <rFont val="Arial"/>
        <family val="2"/>
        <scheme val="minor"/>
      </rPr>
      <t>D1</t>
    </r>
    <r>
      <rPr>
        <b/>
        <sz val="16"/>
        <color rgb="FF000000"/>
        <rFont val="Arial"/>
        <family val="2"/>
        <scheme val="minor"/>
      </rPr>
      <t>/I</t>
    </r>
    <r>
      <rPr>
        <b/>
        <vertAlign val="subscript"/>
        <sz val="16"/>
        <color rgb="FF000000"/>
        <rFont val="Arial"/>
        <family val="2"/>
        <scheme val="minor"/>
      </rPr>
      <t>G</t>
    </r>
  </si>
  <si>
    <t>Amplitude</t>
  </si>
  <si>
    <r>
      <t>A</t>
    </r>
    <r>
      <rPr>
        <b/>
        <vertAlign val="subscript"/>
        <sz val="16"/>
        <color rgb="FF000000"/>
        <rFont val="Arial"/>
        <family val="2"/>
        <scheme val="minor"/>
      </rPr>
      <t>D1</t>
    </r>
    <r>
      <rPr>
        <b/>
        <sz val="16"/>
        <color rgb="FF000000"/>
        <rFont val="Arial"/>
        <family val="2"/>
        <scheme val="minor"/>
      </rPr>
      <t>/A</t>
    </r>
    <r>
      <rPr>
        <b/>
        <vertAlign val="subscript"/>
        <sz val="16"/>
        <color rgb="FF000000"/>
        <rFont val="Arial"/>
        <family val="2"/>
        <scheme val="minor"/>
      </rPr>
      <t>G</t>
    </r>
  </si>
  <si>
    <t>Data is too noisy</t>
  </si>
  <si>
    <t>?</t>
  </si>
  <si>
    <t>Range too small</t>
  </si>
  <si>
    <t>Graph Unusable</t>
  </si>
  <si>
    <t>Raw data not shown. Only fit peaks. They used 5 peaks.</t>
  </si>
  <si>
    <t>Regulating the Pore Structure of Biomass-Derived Hard Carbon for an Advanced Sodium-Ion Battery | ACS Applied Materials &amp; Interfaces</t>
  </si>
  <si>
    <t>Balling-12h-1500</t>
  </si>
  <si>
    <t>Balling-0h-1500</t>
  </si>
  <si>
    <t>Balling-48h-1500</t>
  </si>
  <si>
    <r>
      <t>A</t>
    </r>
    <r>
      <rPr>
        <b/>
        <vertAlign val="subscript"/>
        <sz val="16"/>
        <color rgb="FF000000"/>
        <rFont val="Arial"/>
        <family val="2"/>
        <scheme val="minor"/>
      </rPr>
      <t>A</t>
    </r>
    <r>
      <rPr>
        <b/>
        <sz val="16"/>
        <color rgb="FF000000"/>
        <rFont val="Arial"/>
        <family val="2"/>
        <scheme val="minor"/>
      </rPr>
      <t>/A</t>
    </r>
    <r>
      <rPr>
        <b/>
        <vertAlign val="subscript"/>
        <sz val="16"/>
        <color rgb="FF000000"/>
        <rFont val="Arial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</si>
</sst>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"/>
  </numFmts>
  <fonts count="28" x14ac:knownFonts="1">
    <font>
      <sz val="10"/>
      <color rgb="FF000000"/>
      <name val="Arial"/>
      <scheme val="minor"/>
    </font>
    <font>
      <b/>
      <u/>
      <sz val="12"/>
      <color theme="1"/>
      <name val="Arial"/>
      <family val="2"/>
      <scheme val="minor"/>
    </font>
    <font>
      <sz val="10"/>
      <name val="Arial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vertAlign val="subscript"/>
      <sz val="10"/>
      <color theme="1"/>
      <name val="Arial"/>
      <family val="2"/>
      <scheme val="minor"/>
    </font>
    <font>
      <vertAlign val="superscript"/>
      <sz val="10"/>
      <color theme="1"/>
      <name val="Arial"/>
      <family val="2"/>
      <scheme val="minor"/>
    </font>
    <font>
      <vertAlign val="subscript"/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vertAlign val="superscript"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vertAlign val="superscript"/>
      <sz val="12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vertAlign val="subscript"/>
      <sz val="16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theme="2" tint="-4.9989318521683403E-2"/>
        <bgColor rgb="FFD9D9D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6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194">
    <xf numFmtId="0" fontId="0" fillId="0" borderId="0" xfId="0"/>
    <xf numFmtId="0" fontId="5" fillId="7" borderId="0" xfId="0" applyFont="1" applyFill="1" applyAlignment="1">
      <alignment horizontal="center" vertical="center"/>
    </xf>
    <xf numFmtId="0" fontId="4" fillId="6" borderId="17" xfId="0" applyFont="1" applyFill="1" applyBorder="1" applyAlignment="1">
      <alignment horizontal="center" vertical="center" wrapText="1"/>
    </xf>
    <xf numFmtId="164" fontId="4" fillId="6" borderId="1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7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 vertical="center"/>
    </xf>
    <xf numFmtId="164" fontId="7" fillId="0" borderId="0" xfId="0" applyNumberFormat="1" applyFont="1"/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2" fontId="0" fillId="0" borderId="0" xfId="0" applyNumberFormat="1"/>
    <xf numFmtId="1" fontId="3" fillId="0" borderId="0" xfId="0" applyNumberFormat="1" applyFont="1"/>
    <xf numFmtId="164" fontId="4" fillId="0" borderId="0" xfId="0" applyNumberFormat="1" applyFont="1" applyAlignment="1">
      <alignment horizontal="right"/>
    </xf>
    <xf numFmtId="2" fontId="3" fillId="0" borderId="0" xfId="0" applyNumberFormat="1" applyFont="1"/>
    <xf numFmtId="2" fontId="7" fillId="0" borderId="0" xfId="0" applyNumberFormat="1" applyFont="1"/>
    <xf numFmtId="1" fontId="7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9" fillId="5" borderId="26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14" fillId="0" borderId="0" xfId="1"/>
    <xf numFmtId="1" fontId="4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1" fontId="3" fillId="0" borderId="0" xfId="0" applyNumberFormat="1" applyFont="1" applyAlignment="1">
      <alignment horizontal="right"/>
    </xf>
    <xf numFmtId="0" fontId="10" fillId="0" borderId="0" xfId="0" applyFont="1"/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top" wrapText="1"/>
    </xf>
    <xf numFmtId="0" fontId="7" fillId="0" borderId="44" xfId="0" applyFont="1" applyBorder="1" applyAlignment="1">
      <alignment wrapText="1"/>
    </xf>
    <xf numFmtId="0" fontId="7" fillId="0" borderId="44" xfId="0" applyFont="1" applyBorder="1" applyAlignment="1">
      <alignment horizontal="right" wrapText="1"/>
    </xf>
    <xf numFmtId="0" fontId="14" fillId="0" borderId="44" xfId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14" fillId="0" borderId="0" xfId="1" applyBorder="1" applyAlignment="1">
      <alignment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3" borderId="50" xfId="0" applyFont="1" applyFill="1" applyBorder="1" applyAlignment="1">
      <alignment horizontal="center" vertical="center" wrapText="1"/>
    </xf>
    <xf numFmtId="0" fontId="7" fillId="13" borderId="49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wrapText="1"/>
    </xf>
    <xf numFmtId="0" fontId="7" fillId="0" borderId="52" xfId="0" applyFont="1" applyBorder="1" applyAlignment="1">
      <alignment horizontal="right" wrapText="1"/>
    </xf>
    <xf numFmtId="0" fontId="14" fillId="0" borderId="52" xfId="1" applyBorder="1" applyAlignment="1">
      <alignment vertical="center"/>
    </xf>
    <xf numFmtId="0" fontId="5" fillId="7" borderId="2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/>
    <xf numFmtId="0" fontId="4" fillId="0" borderId="22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7" fontId="4" fillId="0" borderId="0" xfId="0" applyNumberFormat="1" applyFont="1"/>
    <xf numFmtId="1" fontId="4" fillId="0" borderId="0" xfId="0" applyNumberFormat="1" applyFont="1" applyAlignment="1">
      <alignment horizontal="right"/>
    </xf>
    <xf numFmtId="164" fontId="20" fillId="0" borderId="0" xfId="0" applyNumberFormat="1" applyFont="1"/>
    <xf numFmtId="0" fontId="20" fillId="0" borderId="0" xfId="0" applyFont="1"/>
    <xf numFmtId="1" fontId="20" fillId="0" borderId="0" xfId="0" applyNumberFormat="1" applyFont="1"/>
    <xf numFmtId="165" fontId="4" fillId="6" borderId="18" xfId="2" applyNumberFormat="1" applyFont="1" applyFill="1" applyBorder="1" applyAlignment="1">
      <alignment horizontal="center" vertical="center" wrapText="1"/>
    </xf>
    <xf numFmtId="165" fontId="4" fillId="0" borderId="0" xfId="2" applyNumberFormat="1" applyFont="1"/>
    <xf numFmtId="165" fontId="3" fillId="0" borderId="0" xfId="2" applyNumberFormat="1" applyFont="1"/>
    <xf numFmtId="165" fontId="7" fillId="0" borderId="0" xfId="2" applyNumberFormat="1" applyFont="1"/>
    <xf numFmtId="165" fontId="20" fillId="0" borderId="0" xfId="2" applyNumberFormat="1" applyFont="1"/>
    <xf numFmtId="165" fontId="0" fillId="0" borderId="0" xfId="2" applyNumberFormat="1" applyFont="1"/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1" fontId="0" fillId="0" borderId="0" xfId="0" applyNumberFormat="1"/>
    <xf numFmtId="0" fontId="4" fillId="0" borderId="53" xfId="0" applyFont="1" applyBorder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11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166" fontId="7" fillId="12" borderId="49" xfId="0" applyNumberFormat="1" applyFont="1" applyFill="1" applyBorder="1" applyAlignment="1">
      <alignment horizontal="center" vertical="center" wrapText="1"/>
    </xf>
    <xf numFmtId="0" fontId="21" fillId="15" borderId="60" xfId="0" applyFont="1" applyFill="1" applyBorder="1" applyAlignment="1">
      <alignment horizontal="center" vertical="center"/>
    </xf>
    <xf numFmtId="0" fontId="21" fillId="15" borderId="40" xfId="0" applyFont="1" applyFill="1" applyBorder="1" applyAlignment="1">
      <alignment horizontal="center" vertical="center"/>
    </xf>
    <xf numFmtId="0" fontId="21" fillId="14" borderId="60" xfId="0" applyFont="1" applyFill="1" applyBorder="1" applyAlignment="1">
      <alignment horizontal="center" vertical="center"/>
    </xf>
    <xf numFmtId="0" fontId="21" fillId="14" borderId="40" xfId="0" applyFont="1" applyFill="1" applyBorder="1" applyAlignment="1">
      <alignment horizontal="center" vertical="center"/>
    </xf>
    <xf numFmtId="0" fontId="21" fillId="16" borderId="60" xfId="0" applyFont="1" applyFill="1" applyBorder="1" applyAlignment="1">
      <alignment horizontal="center" vertical="center"/>
    </xf>
    <xf numFmtId="0" fontId="21" fillId="16" borderId="40" xfId="0" applyFont="1" applyFill="1" applyBorder="1" applyAlignment="1">
      <alignment horizontal="center" vertical="center"/>
    </xf>
    <xf numFmtId="0" fontId="21" fillId="15" borderId="62" xfId="0" applyFont="1" applyFill="1" applyBorder="1" applyAlignment="1">
      <alignment horizontal="center" vertical="center"/>
    </xf>
    <xf numFmtId="0" fontId="21" fillId="14" borderId="62" xfId="0" applyFont="1" applyFill="1" applyBorder="1" applyAlignment="1">
      <alignment horizontal="center" vertical="center"/>
    </xf>
    <xf numFmtId="0" fontId="21" fillId="16" borderId="62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top" wrapText="1"/>
    </xf>
    <xf numFmtId="0" fontId="4" fillId="0" borderId="64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166" fontId="0" fillId="0" borderId="0" xfId="0" applyNumberFormat="1"/>
    <xf numFmtId="0" fontId="4" fillId="6" borderId="19" xfId="2" applyNumberFormat="1" applyFont="1" applyFill="1" applyBorder="1" applyAlignment="1">
      <alignment horizontal="center" vertical="center" wrapText="1"/>
    </xf>
    <xf numFmtId="0" fontId="4" fillId="0" borderId="0" xfId="2" applyNumberFormat="1" applyFont="1"/>
    <xf numFmtId="0" fontId="0" fillId="0" borderId="0" xfId="2" applyNumberFormat="1" applyFont="1"/>
    <xf numFmtId="0" fontId="7" fillId="0" borderId="0" xfId="0" applyFont="1" applyAlignment="1">
      <alignment horizontal="center" vertical="center"/>
    </xf>
    <xf numFmtId="166" fontId="20" fillId="0" borderId="0" xfId="0" applyNumberFormat="1" applyFont="1"/>
    <xf numFmtId="166" fontId="4" fillId="0" borderId="0" xfId="2" applyNumberFormat="1" applyFont="1"/>
    <xf numFmtId="166" fontId="3" fillId="0" borderId="0" xfId="2" applyNumberFormat="1" applyFont="1"/>
    <xf numFmtId="166" fontId="7" fillId="0" borderId="0" xfId="2" applyNumberFormat="1" applyFont="1"/>
    <xf numFmtId="166" fontId="20" fillId="0" borderId="0" xfId="2" applyNumberFormat="1" applyFont="1"/>
    <xf numFmtId="164" fontId="4" fillId="6" borderId="9" xfId="0" applyNumberFormat="1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1" fontId="1" fillId="6" borderId="4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4" xfId="0" applyFont="1" applyBorder="1"/>
    <xf numFmtId="0" fontId="9" fillId="6" borderId="7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5" xfId="0" applyFont="1" applyBorder="1"/>
    <xf numFmtId="0" fontId="4" fillId="4" borderId="4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4" fillId="4" borderId="33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4" fillId="4" borderId="34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1" fillId="5" borderId="57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2" fillId="0" borderId="13" xfId="0" applyFont="1" applyBorder="1"/>
    <xf numFmtId="0" fontId="4" fillId="6" borderId="1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2" fillId="0" borderId="16" xfId="0" applyFont="1" applyBorder="1"/>
    <xf numFmtId="1" fontId="4" fillId="6" borderId="12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4" fillId="5" borderId="32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4" fillId="5" borderId="10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4" fillId="8" borderId="33" xfId="0" applyFont="1" applyFill="1" applyBorder="1" applyAlignment="1">
      <alignment horizontal="center" vertical="center" wrapText="1"/>
    </xf>
    <xf numFmtId="0" fontId="2" fillId="9" borderId="23" xfId="0" applyFont="1" applyFill="1" applyBorder="1"/>
    <xf numFmtId="0" fontId="4" fillId="8" borderId="34" xfId="0" applyFont="1" applyFill="1" applyBorder="1" applyAlignment="1">
      <alignment horizontal="center" vertical="center" wrapText="1"/>
    </xf>
    <xf numFmtId="0" fontId="2" fillId="9" borderId="25" xfId="0" applyFont="1" applyFill="1" applyBorder="1"/>
    <xf numFmtId="0" fontId="4" fillId="5" borderId="35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19" fillId="10" borderId="45" xfId="0" applyFont="1" applyFill="1" applyBorder="1" applyAlignment="1">
      <alignment horizontal="center" wrapText="1"/>
    </xf>
    <xf numFmtId="0" fontId="19" fillId="10" borderId="46" xfId="0" applyFont="1" applyFill="1" applyBorder="1" applyAlignment="1">
      <alignment horizontal="center" wrapText="1"/>
    </xf>
    <xf numFmtId="0" fontId="19" fillId="10" borderId="47" xfId="0" applyFont="1" applyFill="1" applyBorder="1" applyAlignment="1">
      <alignment horizontal="center" wrapText="1"/>
    </xf>
    <xf numFmtId="0" fontId="26" fillId="0" borderId="59" xfId="0" applyFont="1" applyBorder="1" applyAlignment="1">
      <alignment horizontal="center" vertical="center"/>
    </xf>
    <xf numFmtId="0" fontId="24" fillId="16" borderId="57" xfId="0" applyFont="1" applyFill="1" applyBorder="1" applyAlignment="1">
      <alignment horizontal="center" vertical="center"/>
    </xf>
    <xf numFmtId="0" fontId="24" fillId="16" borderId="61" xfId="0" applyFont="1" applyFill="1" applyBorder="1" applyAlignment="1">
      <alignment horizontal="center" vertical="center"/>
    </xf>
    <xf numFmtId="0" fontId="24" fillId="16" borderId="58" xfId="0" applyFont="1" applyFill="1" applyBorder="1" applyAlignment="1">
      <alignment horizontal="center" vertical="center"/>
    </xf>
    <xf numFmtId="0" fontId="24" fillId="16" borderId="59" xfId="0" applyFont="1" applyFill="1" applyBorder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4" fillId="16" borderId="3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4" fillId="14" borderId="57" xfId="0" applyFont="1" applyFill="1" applyBorder="1" applyAlignment="1">
      <alignment horizontal="center" vertical="center"/>
    </xf>
    <xf numFmtId="0" fontId="24" fillId="14" borderId="61" xfId="0" applyFont="1" applyFill="1" applyBorder="1" applyAlignment="1">
      <alignment horizontal="center" vertical="center"/>
    </xf>
    <xf numFmtId="0" fontId="24" fillId="14" borderId="58" xfId="0" applyFont="1" applyFill="1" applyBorder="1" applyAlignment="1">
      <alignment horizontal="center" vertical="center"/>
    </xf>
    <xf numFmtId="0" fontId="24" fillId="14" borderId="59" xfId="0" applyFont="1" applyFill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4" fillId="14" borderId="39" xfId="0" applyFont="1" applyFill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17" borderId="28" xfId="0" applyFont="1" applyFill="1" applyBorder="1" applyAlignment="1">
      <alignment horizontal="center" vertical="center"/>
    </xf>
    <xf numFmtId="0" fontId="23" fillId="17" borderId="29" xfId="0" applyFont="1" applyFill="1" applyBorder="1" applyAlignment="1">
      <alignment horizontal="center" vertical="center"/>
    </xf>
    <xf numFmtId="0" fontId="23" fillId="17" borderId="30" xfId="0" applyFont="1" applyFill="1" applyBorder="1" applyAlignment="1">
      <alignment horizontal="center" vertical="center"/>
    </xf>
    <xf numFmtId="0" fontId="24" fillId="15" borderId="57" xfId="0" applyFont="1" applyFill="1" applyBorder="1" applyAlignment="1">
      <alignment horizontal="center" vertical="center"/>
    </xf>
    <xf numFmtId="0" fontId="24" fillId="15" borderId="61" xfId="0" applyFont="1" applyFill="1" applyBorder="1" applyAlignment="1">
      <alignment horizontal="center" vertical="center"/>
    </xf>
    <xf numFmtId="0" fontId="24" fillId="15" borderId="58" xfId="0" applyFont="1" applyFill="1" applyBorder="1" applyAlignment="1">
      <alignment horizontal="center" vertical="center"/>
    </xf>
    <xf numFmtId="0" fontId="24" fillId="15" borderId="59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4" fillId="15" borderId="39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Capcity vs Current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0942623135963426"/>
                  <c:y val="-3.784943409619707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aseline="0"/>
                      <a:t>y = -40.43ln(x) + 421.72</a:t>
                    </a:r>
                    <a:br>
                      <a:rPr lang="en-US" sz="900" baseline="0"/>
                    </a:br>
                    <a:r>
                      <a:rPr lang="en-US" sz="900" baseline="0"/>
                      <a:t>R² = 0.9444</a:t>
                    </a:r>
                    <a:endParaRPr lang="en-US" sz="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Tests'!$B$3:$M$3</c:f>
              <c:numCache>
                <c:formatCode>General</c:formatCode>
                <c:ptCount val="12"/>
                <c:pt idx="2">
                  <c:v>272</c:v>
                </c:pt>
                <c:pt idx="4">
                  <c:v>250.7</c:v>
                </c:pt>
                <c:pt idx="5">
                  <c:v>235.6</c:v>
                </c:pt>
                <c:pt idx="6">
                  <c:v>220.3</c:v>
                </c:pt>
                <c:pt idx="9">
                  <c:v>190</c:v>
                </c:pt>
                <c:pt idx="10">
                  <c:v>161.30000000000001</c:v>
                </c:pt>
                <c:pt idx="11">
                  <c:v>119.3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5-4962-9B08-4C2455F95B3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2662031703868344E-2"/>
                  <c:y val="3.888922482352476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aseline="0"/>
                      <a:t>y = -26.37ln(x) + 403.36</a:t>
                    </a:r>
                    <a:br>
                      <a:rPr lang="en-US" sz="900" baseline="0"/>
                    </a:br>
                    <a:r>
                      <a:rPr lang="en-US" sz="900" baseline="0"/>
                      <a:t>R² = 0.8267</a:t>
                    </a:r>
                    <a:endParaRPr lang="en-US" sz="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Tests'!$B$4:$M$4</c:f>
              <c:numCache>
                <c:formatCode>General</c:formatCode>
                <c:ptCount val="12"/>
                <c:pt idx="2">
                  <c:v>299.39999999999998</c:v>
                </c:pt>
                <c:pt idx="4">
                  <c:v>288.5</c:v>
                </c:pt>
                <c:pt idx="5">
                  <c:v>282.5</c:v>
                </c:pt>
                <c:pt idx="6">
                  <c:v>272.5</c:v>
                </c:pt>
                <c:pt idx="9">
                  <c:v>259.5</c:v>
                </c:pt>
                <c:pt idx="10">
                  <c:v>242.4</c:v>
                </c:pt>
                <c:pt idx="11">
                  <c:v>220.5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5-4962-9B08-4C2455F95B3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0207118688477194"/>
                  <c:y val="3.7317313632957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Tests'!$B$6:$M$6</c:f>
              <c:numCache>
                <c:formatCode>General</c:formatCode>
                <c:ptCount val="12"/>
                <c:pt idx="4">
                  <c:v>254.33</c:v>
                </c:pt>
                <c:pt idx="5">
                  <c:v>229.16</c:v>
                </c:pt>
                <c:pt idx="6">
                  <c:v>201.91</c:v>
                </c:pt>
                <c:pt idx="9">
                  <c:v>141.69</c:v>
                </c:pt>
                <c:pt idx="10">
                  <c:v>101.84</c:v>
                </c:pt>
                <c:pt idx="11">
                  <c:v>81.81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0C-40D0-9F43-72555414152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6734371751177488"/>
                  <c:y val="-7.66102986084204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Tests'!$B$8:$M$8</c:f>
              <c:numCache>
                <c:formatCode>General</c:formatCode>
                <c:ptCount val="12"/>
                <c:pt idx="5">
                  <c:v>346.8</c:v>
                </c:pt>
                <c:pt idx="6">
                  <c:v>325.89999999999998</c:v>
                </c:pt>
                <c:pt idx="9">
                  <c:v>313.5</c:v>
                </c:pt>
                <c:pt idx="10">
                  <c:v>299.39999999999998</c:v>
                </c:pt>
                <c:pt idx="11">
                  <c:v>271.60000000000002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0C-40D0-9F43-72555414152C}"/>
            </c:ext>
          </c:extLst>
        </c:ser>
        <c:ser>
          <c:idx val="4"/>
          <c:order val="4"/>
          <c:tx>
            <c:v>Applemass HC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7033271443479202"/>
                  <c:y val="-8.96139234682476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Tests'!$B$2:$N$2</c:f>
              <c:numCache>
                <c:formatCode>General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  <c:pt idx="12">
                  <c:v>5000</c:v>
                </c:pt>
              </c:numCache>
            </c:numRef>
          </c:xVal>
          <c:yVal>
            <c:numRef>
              <c:f>'Rate Tests'!$B$13:$N$13</c:f>
              <c:numCache>
                <c:formatCode>General</c:formatCode>
                <c:ptCount val="13"/>
                <c:pt idx="0">
                  <c:v>235</c:v>
                </c:pt>
                <c:pt idx="3">
                  <c:v>222</c:v>
                </c:pt>
                <c:pt idx="5">
                  <c:v>202</c:v>
                </c:pt>
                <c:pt idx="6">
                  <c:v>181</c:v>
                </c:pt>
                <c:pt idx="8">
                  <c:v>155</c:v>
                </c:pt>
                <c:pt idx="10">
                  <c:v>112</c:v>
                </c:pt>
                <c:pt idx="11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0C-40D0-9F43-72555414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36368"/>
        <c:axId val="892940208"/>
      </c:scatterChart>
      <c:valAx>
        <c:axId val="8929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40208"/>
        <c:crosses val="autoZero"/>
        <c:crossBetween val="midCat"/>
      </c:valAx>
      <c:valAx>
        <c:axId val="8929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  <a:r>
              <a:rPr lang="en-US" baseline="0"/>
              <a:t> vs log(Current Density)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991447944007"/>
                  <c:y val="-0.478508579491147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Tests'!$B$38:$N$38</c:f>
              <c:numCache>
                <c:formatCode>0.000</c:formatCode>
                <c:ptCount val="13"/>
                <c:pt idx="0">
                  <c:v>1.3010299956639813</c:v>
                </c:pt>
                <c:pt idx="1">
                  <c:v>1.3979400086720377</c:v>
                </c:pt>
                <c:pt idx="2">
                  <c:v>1.4771212547196624</c:v>
                </c:pt>
                <c:pt idx="3">
                  <c:v>1.6020599913279623</c:v>
                </c:pt>
                <c:pt idx="4">
                  <c:v>1.6989700043360187</c:v>
                </c:pt>
                <c:pt idx="5">
                  <c:v>2</c:v>
                </c:pt>
                <c:pt idx="6">
                  <c:v>2.3010299956639813</c:v>
                </c:pt>
                <c:pt idx="7">
                  <c:v>2.4771212547196626</c:v>
                </c:pt>
                <c:pt idx="8">
                  <c:v>2.6020599913279625</c:v>
                </c:pt>
                <c:pt idx="9">
                  <c:v>2.6989700043360187</c:v>
                </c:pt>
                <c:pt idx="10">
                  <c:v>3</c:v>
                </c:pt>
                <c:pt idx="11">
                  <c:v>3.3010299956639813</c:v>
                </c:pt>
                <c:pt idx="12">
                  <c:v>3.6989700043360187</c:v>
                </c:pt>
              </c:numCache>
            </c:numRef>
          </c:xVal>
          <c:yVal>
            <c:numRef>
              <c:f>'Rate Tests'!$B$39:$N$39</c:f>
              <c:numCache>
                <c:formatCode>General</c:formatCode>
                <c:ptCount val="13"/>
                <c:pt idx="2">
                  <c:v>272</c:v>
                </c:pt>
                <c:pt idx="4">
                  <c:v>250.7</c:v>
                </c:pt>
                <c:pt idx="5">
                  <c:v>235.6</c:v>
                </c:pt>
                <c:pt idx="6">
                  <c:v>220.3</c:v>
                </c:pt>
                <c:pt idx="9">
                  <c:v>190</c:v>
                </c:pt>
                <c:pt idx="10">
                  <c:v>161.30000000000001</c:v>
                </c:pt>
                <c:pt idx="11">
                  <c:v>119.3</c:v>
                </c:pt>
                <c:pt idx="12">
                  <c:v>46.1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9-41E5-BCD0-F91036421CD1}"/>
            </c:ext>
          </c:extLst>
        </c:ser>
        <c:ser>
          <c:idx val="1"/>
          <c:order val="1"/>
          <c:tx>
            <c:v>Series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641076115485558E-2"/>
                  <c:y val="-0.201431904345290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Tests'!$B$38:$N$38</c:f>
              <c:numCache>
                <c:formatCode>0.000</c:formatCode>
                <c:ptCount val="13"/>
                <c:pt idx="0">
                  <c:v>1.3010299956639813</c:v>
                </c:pt>
                <c:pt idx="1">
                  <c:v>1.3979400086720377</c:v>
                </c:pt>
                <c:pt idx="2">
                  <c:v>1.4771212547196624</c:v>
                </c:pt>
                <c:pt idx="3">
                  <c:v>1.6020599913279623</c:v>
                </c:pt>
                <c:pt idx="4">
                  <c:v>1.6989700043360187</c:v>
                </c:pt>
                <c:pt idx="5">
                  <c:v>2</c:v>
                </c:pt>
                <c:pt idx="6">
                  <c:v>2.3010299956639813</c:v>
                </c:pt>
                <c:pt idx="7">
                  <c:v>2.4771212547196626</c:v>
                </c:pt>
                <c:pt idx="8">
                  <c:v>2.6020599913279625</c:v>
                </c:pt>
                <c:pt idx="9">
                  <c:v>2.6989700043360187</c:v>
                </c:pt>
                <c:pt idx="10">
                  <c:v>3</c:v>
                </c:pt>
                <c:pt idx="11">
                  <c:v>3.3010299956639813</c:v>
                </c:pt>
                <c:pt idx="12">
                  <c:v>3.6989700043360187</c:v>
                </c:pt>
              </c:numCache>
            </c:numRef>
          </c:xVal>
          <c:yVal>
            <c:numRef>
              <c:f>'Rate Tests'!$B$40:$N$40</c:f>
              <c:numCache>
                <c:formatCode>General</c:formatCode>
                <c:ptCount val="13"/>
                <c:pt idx="2">
                  <c:v>299.39999999999998</c:v>
                </c:pt>
                <c:pt idx="4">
                  <c:v>288.5</c:v>
                </c:pt>
                <c:pt idx="5">
                  <c:v>282.5</c:v>
                </c:pt>
                <c:pt idx="6">
                  <c:v>272.5</c:v>
                </c:pt>
                <c:pt idx="9">
                  <c:v>259.5</c:v>
                </c:pt>
                <c:pt idx="10">
                  <c:v>242.4</c:v>
                </c:pt>
                <c:pt idx="11">
                  <c:v>220.5</c:v>
                </c:pt>
                <c:pt idx="12">
                  <c:v>136.6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49-41E5-BCD0-F91036421CD1}"/>
            </c:ext>
          </c:extLst>
        </c:ser>
        <c:ser>
          <c:idx val="2"/>
          <c:order val="2"/>
          <c:tx>
            <c:v>Series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26159230096239"/>
                  <c:y val="-0.295829229438805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Tests'!$B$38:$N$38</c:f>
              <c:numCache>
                <c:formatCode>0.000</c:formatCode>
                <c:ptCount val="13"/>
                <c:pt idx="0">
                  <c:v>1.3010299956639813</c:v>
                </c:pt>
                <c:pt idx="1">
                  <c:v>1.3979400086720377</c:v>
                </c:pt>
                <c:pt idx="2">
                  <c:v>1.4771212547196624</c:v>
                </c:pt>
                <c:pt idx="3">
                  <c:v>1.6020599913279623</c:v>
                </c:pt>
                <c:pt idx="4">
                  <c:v>1.6989700043360187</c:v>
                </c:pt>
                <c:pt idx="5">
                  <c:v>2</c:v>
                </c:pt>
                <c:pt idx="6">
                  <c:v>2.3010299956639813</c:v>
                </c:pt>
                <c:pt idx="7">
                  <c:v>2.4771212547196626</c:v>
                </c:pt>
                <c:pt idx="8">
                  <c:v>2.6020599913279625</c:v>
                </c:pt>
                <c:pt idx="9">
                  <c:v>2.6989700043360187</c:v>
                </c:pt>
                <c:pt idx="10">
                  <c:v>3</c:v>
                </c:pt>
                <c:pt idx="11">
                  <c:v>3.3010299956639813</c:v>
                </c:pt>
                <c:pt idx="12">
                  <c:v>3.6989700043360187</c:v>
                </c:pt>
              </c:numCache>
            </c:numRef>
          </c:xVal>
          <c:yVal>
            <c:numRef>
              <c:f>'Rate Tests'!$B$42:$Q$42</c:f>
              <c:numCache>
                <c:formatCode>General</c:formatCode>
                <c:ptCount val="16"/>
                <c:pt idx="4">
                  <c:v>254.33</c:v>
                </c:pt>
                <c:pt idx="5">
                  <c:v>229.16</c:v>
                </c:pt>
                <c:pt idx="6">
                  <c:v>201.91</c:v>
                </c:pt>
                <c:pt idx="9">
                  <c:v>141.69</c:v>
                </c:pt>
                <c:pt idx="10">
                  <c:v>101.84</c:v>
                </c:pt>
                <c:pt idx="11">
                  <c:v>81.81</c:v>
                </c:pt>
                <c:pt idx="12">
                  <c:v>60.66</c:v>
                </c:pt>
                <c:pt idx="13">
                  <c:v>0.41</c:v>
                </c:pt>
                <c:pt idx="14">
                  <c:v>3.8129</c:v>
                </c:pt>
                <c:pt idx="15">
                  <c:v>9.0250000000000004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49-41E5-BCD0-F9103642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641936"/>
        <c:axId val="892640016"/>
      </c:scatterChart>
      <c:valAx>
        <c:axId val="89264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40016"/>
        <c:crosses val="autoZero"/>
        <c:crossBetween val="midCat"/>
      </c:valAx>
      <c:valAx>
        <c:axId val="8926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4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  <a:r>
              <a:rPr lang="en-US" baseline="0"/>
              <a:t> at 1000 mA/g vs. I</a:t>
            </a:r>
            <a:r>
              <a:rPr lang="en-US" baseline="-25000"/>
              <a:t>D</a:t>
            </a:r>
            <a:r>
              <a:rPr lang="en-US" baseline="0"/>
              <a:t>/I</a:t>
            </a:r>
            <a:r>
              <a:rPr lang="en-US" baseline="-25000"/>
              <a:t>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1154855643044"/>
          <c:y val="0.14629629629629629"/>
          <c:w val="0.86038145231846019"/>
          <c:h val="0.751944444444444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066870142860807"/>
                  <c:y val="-0.16282587997037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Graphs!$A$1:$A$130</c:f>
              <c:numCache>
                <c:formatCode>0.00</c:formatCode>
                <c:ptCount val="130"/>
                <c:pt idx="0" formatCode="General">
                  <c:v>3.42</c:v>
                </c:pt>
                <c:pt idx="1">
                  <c:v>3</c:v>
                </c:pt>
                <c:pt idx="2" formatCode="General">
                  <c:v>2.5299999999999998</c:v>
                </c:pt>
                <c:pt idx="3" formatCode="General">
                  <c:v>3.25</c:v>
                </c:pt>
                <c:pt idx="4" formatCode="General">
                  <c:v>1.06</c:v>
                </c:pt>
                <c:pt idx="5" formatCode="General">
                  <c:v>1.06</c:v>
                </c:pt>
                <c:pt idx="6" formatCode="General">
                  <c:v>1.06</c:v>
                </c:pt>
                <c:pt idx="7" formatCode="General">
                  <c:v>1.17</c:v>
                </c:pt>
                <c:pt idx="8" formatCode="General">
                  <c:v>1.05</c:v>
                </c:pt>
                <c:pt idx="9" formatCode="General">
                  <c:v>1.8129999999999999</c:v>
                </c:pt>
                <c:pt idx="10" formatCode="General">
                  <c:v>1.5329999999999999</c:v>
                </c:pt>
                <c:pt idx="11" formatCode="General">
                  <c:v>1.601</c:v>
                </c:pt>
                <c:pt idx="12" formatCode="General">
                  <c:v>1.5409999999999999</c:v>
                </c:pt>
                <c:pt idx="13" formatCode="General">
                  <c:v>0.34</c:v>
                </c:pt>
                <c:pt idx="14" formatCode="General">
                  <c:v>0.41</c:v>
                </c:pt>
                <c:pt idx="15" formatCode="General">
                  <c:v>0.48</c:v>
                </c:pt>
                <c:pt idx="16" formatCode="General">
                  <c:v>0.59</c:v>
                </c:pt>
                <c:pt idx="17" formatCode="General">
                  <c:v>2.2999999999999998</c:v>
                </c:pt>
                <c:pt idx="18" formatCode="General">
                  <c:v>2.15</c:v>
                </c:pt>
                <c:pt idx="19" formatCode="General">
                  <c:v>2.02</c:v>
                </c:pt>
                <c:pt idx="20" formatCode="General">
                  <c:v>1.73</c:v>
                </c:pt>
                <c:pt idx="21" formatCode="General">
                  <c:v>1.69</c:v>
                </c:pt>
                <c:pt idx="22" formatCode="General">
                  <c:v>2.42</c:v>
                </c:pt>
                <c:pt idx="23" formatCode="General">
                  <c:v>1.89</c:v>
                </c:pt>
                <c:pt idx="24" formatCode="General">
                  <c:v>1.79</c:v>
                </c:pt>
                <c:pt idx="25" formatCode="General">
                  <c:v>1.71</c:v>
                </c:pt>
                <c:pt idx="26" formatCode="General">
                  <c:v>1.58</c:v>
                </c:pt>
                <c:pt idx="27" formatCode="General">
                  <c:v>1.82</c:v>
                </c:pt>
                <c:pt idx="28" formatCode="General">
                  <c:v>1.86</c:v>
                </c:pt>
                <c:pt idx="29" formatCode="General">
                  <c:v>1.78</c:v>
                </c:pt>
                <c:pt idx="30" formatCode="General">
                  <c:v>2.4500000000000002</c:v>
                </c:pt>
                <c:pt idx="31" formatCode="General">
                  <c:v>2.0299999999999998</c:v>
                </c:pt>
                <c:pt idx="32" formatCode="General">
                  <c:v>1.79</c:v>
                </c:pt>
                <c:pt idx="33" formatCode="General">
                  <c:v>0.81</c:v>
                </c:pt>
                <c:pt idx="34" formatCode="General">
                  <c:v>0.9</c:v>
                </c:pt>
                <c:pt idx="35" formatCode="General">
                  <c:v>0.91</c:v>
                </c:pt>
                <c:pt idx="36" formatCode="General">
                  <c:v>0.88</c:v>
                </c:pt>
                <c:pt idx="37" formatCode="General">
                  <c:v>0.83</c:v>
                </c:pt>
                <c:pt idx="38" formatCode="General">
                  <c:v>3.53</c:v>
                </c:pt>
                <c:pt idx="39" formatCode="General">
                  <c:v>3.12</c:v>
                </c:pt>
                <c:pt idx="40" formatCode="General">
                  <c:v>2.67</c:v>
                </c:pt>
                <c:pt idx="41" formatCode="General">
                  <c:v>2.52</c:v>
                </c:pt>
                <c:pt idx="42" formatCode="General">
                  <c:v>0.78</c:v>
                </c:pt>
                <c:pt idx="43" formatCode="General">
                  <c:v>0.91</c:v>
                </c:pt>
                <c:pt idx="44" formatCode="General">
                  <c:v>0.93</c:v>
                </c:pt>
                <c:pt idx="45" formatCode="General">
                  <c:v>0.79</c:v>
                </c:pt>
                <c:pt idx="46" formatCode="General">
                  <c:v>0.92</c:v>
                </c:pt>
                <c:pt idx="47" formatCode="General">
                  <c:v>0.94</c:v>
                </c:pt>
                <c:pt idx="48" formatCode="General">
                  <c:v>0.65900000000000003</c:v>
                </c:pt>
                <c:pt idx="49" formatCode="General">
                  <c:v>0.71599999999999997</c:v>
                </c:pt>
                <c:pt idx="50" formatCode="General">
                  <c:v>0.749</c:v>
                </c:pt>
                <c:pt idx="51" formatCode="General">
                  <c:v>0.54</c:v>
                </c:pt>
                <c:pt idx="52" formatCode="General">
                  <c:v>0.61</c:v>
                </c:pt>
                <c:pt idx="53" formatCode="General">
                  <c:v>0.66</c:v>
                </c:pt>
                <c:pt idx="54" formatCode="General">
                  <c:v>0.72</c:v>
                </c:pt>
                <c:pt idx="55" formatCode="0.000">
                  <c:v>2.4213075060532687</c:v>
                </c:pt>
                <c:pt idx="56" formatCode="0.000">
                  <c:v>2.4875621890547261</c:v>
                </c:pt>
                <c:pt idx="57" formatCode="0.000">
                  <c:v>2.5062656641604009</c:v>
                </c:pt>
                <c:pt idx="58" formatCode="0.000">
                  <c:v>2.5125628140703515</c:v>
                </c:pt>
                <c:pt idx="59" formatCode="General">
                  <c:v>1.02</c:v>
                </c:pt>
                <c:pt idx="60" formatCode="General">
                  <c:v>0.91</c:v>
                </c:pt>
                <c:pt idx="61" formatCode="General">
                  <c:v>0.98</c:v>
                </c:pt>
                <c:pt idx="62" formatCode="General">
                  <c:v>0.6</c:v>
                </c:pt>
                <c:pt idx="63" formatCode="General">
                  <c:v>0.62</c:v>
                </c:pt>
                <c:pt idx="64" formatCode="General">
                  <c:v>0.66</c:v>
                </c:pt>
                <c:pt idx="65" formatCode="General">
                  <c:v>0.89</c:v>
                </c:pt>
                <c:pt idx="66" formatCode="General">
                  <c:v>0.92</c:v>
                </c:pt>
                <c:pt idx="70" formatCode="General">
                  <c:v>0.67300000000000004</c:v>
                </c:pt>
                <c:pt idx="71" formatCode="General">
                  <c:v>0.69899999999999995</c:v>
                </c:pt>
                <c:pt idx="72" formatCode="General">
                  <c:v>0.748</c:v>
                </c:pt>
                <c:pt idx="73" formatCode="General">
                  <c:v>0.78700000000000003</c:v>
                </c:pt>
                <c:pt idx="74" formatCode="General">
                  <c:v>0.85699999999999998</c:v>
                </c:pt>
                <c:pt idx="75" formatCode="General">
                  <c:v>2.66</c:v>
                </c:pt>
                <c:pt idx="76" formatCode="General">
                  <c:v>2.4700000000000002</c:v>
                </c:pt>
                <c:pt idx="77" formatCode="General">
                  <c:v>2.23</c:v>
                </c:pt>
                <c:pt idx="78" formatCode="General">
                  <c:v>2.06</c:v>
                </c:pt>
                <c:pt idx="79" formatCode="General">
                  <c:v>1.77</c:v>
                </c:pt>
                <c:pt idx="80" formatCode="General">
                  <c:v>1.78</c:v>
                </c:pt>
                <c:pt idx="81" formatCode="General">
                  <c:v>1.77</c:v>
                </c:pt>
                <c:pt idx="82" formatCode="General">
                  <c:v>1.76</c:v>
                </c:pt>
                <c:pt idx="83" formatCode="General">
                  <c:v>2.74</c:v>
                </c:pt>
                <c:pt idx="84" formatCode="General">
                  <c:v>1.36</c:v>
                </c:pt>
                <c:pt idx="85" formatCode="General">
                  <c:v>1.35</c:v>
                </c:pt>
                <c:pt idx="86" formatCode="General">
                  <c:v>1.33</c:v>
                </c:pt>
                <c:pt idx="87" formatCode="General">
                  <c:v>1.17</c:v>
                </c:pt>
                <c:pt idx="88" formatCode="General">
                  <c:v>1.87</c:v>
                </c:pt>
                <c:pt idx="89" formatCode="General">
                  <c:v>1.82</c:v>
                </c:pt>
                <c:pt idx="90" formatCode="General">
                  <c:v>1.69</c:v>
                </c:pt>
                <c:pt idx="91" formatCode="General">
                  <c:v>1.65</c:v>
                </c:pt>
                <c:pt idx="92" formatCode="General">
                  <c:v>1.05</c:v>
                </c:pt>
                <c:pt idx="97" formatCode="General">
                  <c:v>0.97</c:v>
                </c:pt>
                <c:pt idx="98" formatCode="General">
                  <c:v>0.96</c:v>
                </c:pt>
                <c:pt idx="99" formatCode="General">
                  <c:v>0.88</c:v>
                </c:pt>
                <c:pt idx="100" formatCode="General">
                  <c:v>1.03</c:v>
                </c:pt>
                <c:pt idx="101" formatCode="General">
                  <c:v>1.05</c:v>
                </c:pt>
                <c:pt idx="102" formatCode="General">
                  <c:v>1.1599999999999999</c:v>
                </c:pt>
                <c:pt idx="103" formatCode="General">
                  <c:v>1.19</c:v>
                </c:pt>
                <c:pt idx="104" formatCode="General">
                  <c:v>1.27</c:v>
                </c:pt>
                <c:pt idx="105" formatCode="General">
                  <c:v>1.57</c:v>
                </c:pt>
                <c:pt idx="106" formatCode="General">
                  <c:v>1.66</c:v>
                </c:pt>
                <c:pt idx="107" formatCode="General">
                  <c:v>2.57</c:v>
                </c:pt>
                <c:pt idx="108" formatCode="General">
                  <c:v>2.84</c:v>
                </c:pt>
                <c:pt idx="109" formatCode="General">
                  <c:v>2.86</c:v>
                </c:pt>
                <c:pt idx="110" formatCode="General">
                  <c:v>2.39</c:v>
                </c:pt>
                <c:pt idx="111" formatCode="General">
                  <c:v>2.61</c:v>
                </c:pt>
                <c:pt idx="112" formatCode="General">
                  <c:v>2.57</c:v>
                </c:pt>
                <c:pt idx="113">
                  <c:v>2.7</c:v>
                </c:pt>
                <c:pt idx="114" formatCode="General">
                  <c:v>2.92</c:v>
                </c:pt>
                <c:pt idx="115" formatCode="General">
                  <c:v>2.83</c:v>
                </c:pt>
                <c:pt idx="116" formatCode="General">
                  <c:v>2.62</c:v>
                </c:pt>
                <c:pt idx="117" formatCode="General">
                  <c:v>2.67</c:v>
                </c:pt>
                <c:pt idx="118">
                  <c:v>2.7</c:v>
                </c:pt>
                <c:pt idx="119" formatCode="General">
                  <c:v>2.16</c:v>
                </c:pt>
                <c:pt idx="120" formatCode="General">
                  <c:v>2.29</c:v>
                </c:pt>
                <c:pt idx="125" formatCode="General">
                  <c:v>1.45</c:v>
                </c:pt>
                <c:pt idx="127" formatCode="General">
                  <c:v>1.1000000000000001</c:v>
                </c:pt>
                <c:pt idx="128" formatCode="General">
                  <c:v>1.23</c:v>
                </c:pt>
                <c:pt idx="129" formatCode="General">
                  <c:v>1.37</c:v>
                </c:pt>
              </c:numCache>
            </c:numRef>
          </c:xVal>
          <c:yVal>
            <c:numRef>
              <c:f>Graphs!$B$1:$B$130</c:f>
              <c:numCache>
                <c:formatCode>0.0</c:formatCode>
                <c:ptCount val="130"/>
                <c:pt idx="0">
                  <c:v>168.6</c:v>
                </c:pt>
                <c:pt idx="1">
                  <c:v>242.4</c:v>
                </c:pt>
                <c:pt idx="2">
                  <c:v>229</c:v>
                </c:pt>
                <c:pt idx="3">
                  <c:v>161.30000000000001</c:v>
                </c:pt>
                <c:pt idx="8">
                  <c:v>97</c:v>
                </c:pt>
                <c:pt idx="9">
                  <c:v>110.4</c:v>
                </c:pt>
                <c:pt idx="10">
                  <c:v>57.9</c:v>
                </c:pt>
                <c:pt idx="11">
                  <c:v>103</c:v>
                </c:pt>
                <c:pt idx="12">
                  <c:v>105</c:v>
                </c:pt>
                <c:pt idx="13">
                  <c:v>56.918999999999997</c:v>
                </c:pt>
                <c:pt idx="14">
                  <c:v>101.84</c:v>
                </c:pt>
                <c:pt idx="15">
                  <c:v>150.18</c:v>
                </c:pt>
                <c:pt idx="16">
                  <c:v>28.97</c:v>
                </c:pt>
                <c:pt idx="30">
                  <c:v>83.9</c:v>
                </c:pt>
                <c:pt idx="31">
                  <c:v>75.7</c:v>
                </c:pt>
                <c:pt idx="32">
                  <c:v>35.799999999999997</c:v>
                </c:pt>
                <c:pt idx="38" formatCode="0">
                  <c:v>184</c:v>
                </c:pt>
                <c:pt idx="39">
                  <c:v>299.39999999999998</c:v>
                </c:pt>
                <c:pt idx="40" formatCode="0">
                  <c:v>237</c:v>
                </c:pt>
                <c:pt idx="41" formatCode="0">
                  <c:v>246</c:v>
                </c:pt>
                <c:pt idx="42" formatCode="0">
                  <c:v>161</c:v>
                </c:pt>
                <c:pt idx="43" formatCode="0">
                  <c:v>141</c:v>
                </c:pt>
                <c:pt idx="44" formatCode="0">
                  <c:v>83</c:v>
                </c:pt>
                <c:pt idx="45" formatCode="0">
                  <c:v>181</c:v>
                </c:pt>
                <c:pt idx="46" formatCode="0">
                  <c:v>156</c:v>
                </c:pt>
                <c:pt idx="47" formatCode="0">
                  <c:v>107</c:v>
                </c:pt>
                <c:pt idx="48" formatCode="0">
                  <c:v>154</c:v>
                </c:pt>
                <c:pt idx="49" formatCode="0">
                  <c:v>172</c:v>
                </c:pt>
                <c:pt idx="50" formatCode="0">
                  <c:v>139</c:v>
                </c:pt>
                <c:pt idx="51" formatCode="General">
                  <c:v>46</c:v>
                </c:pt>
                <c:pt idx="52" formatCode="General">
                  <c:v>92</c:v>
                </c:pt>
                <c:pt idx="53" formatCode="General">
                  <c:v>84</c:v>
                </c:pt>
                <c:pt idx="54" formatCode="General">
                  <c:v>40</c:v>
                </c:pt>
                <c:pt idx="59">
                  <c:v>91.9</c:v>
                </c:pt>
                <c:pt idx="60" formatCode="0">
                  <c:v>77</c:v>
                </c:pt>
                <c:pt idx="61" formatCode="0">
                  <c:v>100</c:v>
                </c:pt>
                <c:pt idx="62" formatCode="0">
                  <c:v>101</c:v>
                </c:pt>
                <c:pt idx="63" formatCode="0">
                  <c:v>86</c:v>
                </c:pt>
                <c:pt idx="64" formatCode="0">
                  <c:v>86</c:v>
                </c:pt>
                <c:pt idx="65" formatCode="0">
                  <c:v>77</c:v>
                </c:pt>
                <c:pt idx="66" formatCode="0">
                  <c:v>55</c:v>
                </c:pt>
                <c:pt idx="70" formatCode="0">
                  <c:v>82</c:v>
                </c:pt>
                <c:pt idx="71" formatCode="0">
                  <c:v>75</c:v>
                </c:pt>
                <c:pt idx="72" formatCode="0">
                  <c:v>96</c:v>
                </c:pt>
                <c:pt idx="73" formatCode="0">
                  <c:v>57</c:v>
                </c:pt>
                <c:pt idx="74" formatCode="0">
                  <c:v>53</c:v>
                </c:pt>
                <c:pt idx="83" formatCode="0">
                  <c:v>112</c:v>
                </c:pt>
                <c:pt idx="84" formatCode="0">
                  <c:v>154</c:v>
                </c:pt>
                <c:pt idx="85">
                  <c:v>183.4</c:v>
                </c:pt>
                <c:pt idx="86" formatCode="0">
                  <c:v>165</c:v>
                </c:pt>
                <c:pt idx="87" formatCode="0">
                  <c:v>179</c:v>
                </c:pt>
                <c:pt idx="88" formatCode="0">
                  <c:v>102</c:v>
                </c:pt>
                <c:pt idx="89" formatCode="0">
                  <c:v>134</c:v>
                </c:pt>
                <c:pt idx="90">
                  <c:v>149.5</c:v>
                </c:pt>
                <c:pt idx="91" formatCode="0">
                  <c:v>75</c:v>
                </c:pt>
                <c:pt idx="92">
                  <c:v>192</c:v>
                </c:pt>
                <c:pt idx="98" formatCode="0">
                  <c:v>104</c:v>
                </c:pt>
                <c:pt idx="107" formatCode="0">
                  <c:v>182</c:v>
                </c:pt>
                <c:pt idx="108" formatCode="0">
                  <c:v>283</c:v>
                </c:pt>
                <c:pt idx="109" formatCode="0">
                  <c:v>287</c:v>
                </c:pt>
                <c:pt idx="110" formatCode="0">
                  <c:v>235</c:v>
                </c:pt>
                <c:pt idx="111" formatCode="0">
                  <c:v>167</c:v>
                </c:pt>
                <c:pt idx="112" formatCode="0">
                  <c:v>182</c:v>
                </c:pt>
                <c:pt idx="113" formatCode="0">
                  <c:v>239</c:v>
                </c:pt>
                <c:pt idx="114" formatCode="0">
                  <c:v>279</c:v>
                </c:pt>
                <c:pt idx="115" formatCode="0">
                  <c:v>277</c:v>
                </c:pt>
                <c:pt idx="116" formatCode="0">
                  <c:v>75</c:v>
                </c:pt>
                <c:pt idx="117" formatCode="0">
                  <c:v>296</c:v>
                </c:pt>
                <c:pt idx="118" formatCode="0">
                  <c:v>268</c:v>
                </c:pt>
                <c:pt idx="119" formatCode="0">
                  <c:v>195</c:v>
                </c:pt>
                <c:pt idx="120" formatCode="0">
                  <c:v>161</c:v>
                </c:pt>
                <c:pt idx="121">
                  <c:v>117</c:v>
                </c:pt>
                <c:pt idx="122">
                  <c:v>111</c:v>
                </c:pt>
                <c:pt idx="123">
                  <c:v>94</c:v>
                </c:pt>
                <c:pt idx="124">
                  <c:v>76</c:v>
                </c:pt>
                <c:pt idx="125" formatCode="0">
                  <c:v>192</c:v>
                </c:pt>
                <c:pt idx="126" formatCode="0">
                  <c:v>102</c:v>
                </c:pt>
                <c:pt idx="127" formatCode="0">
                  <c:v>119</c:v>
                </c:pt>
                <c:pt idx="128" formatCode="0">
                  <c:v>252</c:v>
                </c:pt>
                <c:pt idx="129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8-4DA3-8AED-2BD70249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69487"/>
        <c:axId val="2094370447"/>
      </c:scatterChart>
      <c:valAx>
        <c:axId val="209436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70447"/>
        <c:crosses val="autoZero"/>
        <c:crossBetween val="midCat"/>
      </c:valAx>
      <c:valAx>
        <c:axId val="20943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6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</xdr:colOff>
      <xdr:row>1</xdr:row>
      <xdr:rowOff>504825</xdr:rowOff>
    </xdr:from>
    <xdr:to>
      <xdr:col>29</xdr:col>
      <xdr:colOff>73025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CDA1DE-7A4E-FAA7-5145-FD105A964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320675</xdr:colOff>
      <xdr:row>18</xdr:row>
      <xdr:rowOff>85725</xdr:rowOff>
    </xdr:from>
    <xdr:to>
      <xdr:col>29</xdr:col>
      <xdr:colOff>15875</xdr:colOff>
      <xdr:row>28</xdr:row>
      <xdr:rowOff>234950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2121E-5A27-889D-8D4B-817F9563B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6</xdr:row>
      <xdr:rowOff>82550</xdr:rowOff>
    </xdr:from>
    <xdr:to>
      <xdr:col>18</xdr:col>
      <xdr:colOff>492125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2966B-8D4A-B32A-79FB-559AC9F6A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0016236124012894" TargetMode="External"/><Relationship Id="rId117" Type="http://schemas.openxmlformats.org/officeDocument/2006/relationships/hyperlink" Target="https://pubs.acs.org/doi/10.1021/acsami.4c08082" TargetMode="External"/><Relationship Id="rId21" Type="http://schemas.openxmlformats.org/officeDocument/2006/relationships/hyperlink" Target="https://www.sciencedirect.com/science/article/pii/S0008622318304913" TargetMode="External"/><Relationship Id="rId42" Type="http://schemas.openxmlformats.org/officeDocument/2006/relationships/hyperlink" Target="https://www.sciencedirect.com/science/article/pii/S0008622317311685?via%3Dihub" TargetMode="External"/><Relationship Id="rId47" Type="http://schemas.openxmlformats.org/officeDocument/2006/relationships/hyperlink" Target="https://www.sciencedirect.com/science/article/pii/S0013468618319108" TargetMode="External"/><Relationship Id="rId63" Type="http://schemas.openxmlformats.org/officeDocument/2006/relationships/hyperlink" Target="https://pubs.rsc.org/en/content/articlelanding/2017/ta/c7ta00639j" TargetMode="External"/><Relationship Id="rId68" Type="http://schemas.openxmlformats.org/officeDocument/2006/relationships/hyperlink" Target="https://pubs.rsc.org/en/content/articlelanding/2017/ta/c7ta01394a" TargetMode="External"/><Relationship Id="rId84" Type="http://schemas.openxmlformats.org/officeDocument/2006/relationships/hyperlink" Target="https://link.springer.com/article/10.1007/s10853-018-03229-2" TargetMode="External"/><Relationship Id="rId89" Type="http://schemas.openxmlformats.org/officeDocument/2006/relationships/hyperlink" Target="https://www.sciencedirect.com/science/article/pii/S0013468620317060" TargetMode="External"/><Relationship Id="rId112" Type="http://schemas.openxmlformats.org/officeDocument/2006/relationships/hyperlink" Target="https://pubs.rsc.org/en/content/articlelanding/2015/ta/c5ta05118e" TargetMode="External"/><Relationship Id="rId16" Type="http://schemas.openxmlformats.org/officeDocument/2006/relationships/hyperlink" Target="https://www.sciencedirect.com/science/article/pii/S0008622318304913" TargetMode="External"/><Relationship Id="rId107" Type="http://schemas.openxmlformats.org/officeDocument/2006/relationships/hyperlink" Target="https://pubs.acs.org/doi/full/10.1021/acs.chemmater.9b05235" TargetMode="External"/><Relationship Id="rId11" Type="http://schemas.openxmlformats.org/officeDocument/2006/relationships/hyperlink" Target="https://www.sciencedirect.com/science/article/pii/S0013468622019260" TargetMode="External"/><Relationship Id="rId32" Type="http://schemas.openxmlformats.org/officeDocument/2006/relationships/hyperlink" Target="https://www.sciencedirect.com/science/article/pii/S1385894722059149" TargetMode="External"/><Relationship Id="rId37" Type="http://schemas.openxmlformats.org/officeDocument/2006/relationships/hyperlink" Target="https://pubs.acs.org/doi/10.1021/nn502045y" TargetMode="External"/><Relationship Id="rId53" Type="http://schemas.openxmlformats.org/officeDocument/2006/relationships/hyperlink" Target="https://link.springer.com/article/10.1007/s10008-016-3485-z" TargetMode="External"/><Relationship Id="rId58" Type="http://schemas.openxmlformats.org/officeDocument/2006/relationships/hyperlink" Target="https://www.sciencedirect.com/science/article/pii/S0008622317308163?via%3Dihub" TargetMode="External"/><Relationship Id="rId74" Type="http://schemas.openxmlformats.org/officeDocument/2006/relationships/hyperlink" Target="https://pubs.rsc.org/en/content/articlelanding/2017/ta/c7ta01394a" TargetMode="External"/><Relationship Id="rId79" Type="http://schemas.openxmlformats.org/officeDocument/2006/relationships/hyperlink" Target="https://www.sciencedirect.com/science/article/pii/S0013468620314341" TargetMode="External"/><Relationship Id="rId102" Type="http://schemas.openxmlformats.org/officeDocument/2006/relationships/hyperlink" Target="https://pubs.acs.org/doi/full/10.1021/acs.chemmater.9b05235" TargetMode="External"/><Relationship Id="rId5" Type="http://schemas.openxmlformats.org/officeDocument/2006/relationships/hyperlink" Target="https://iastate.app.box.com/file/1436314017403" TargetMode="External"/><Relationship Id="rId90" Type="http://schemas.openxmlformats.org/officeDocument/2006/relationships/hyperlink" Target="https://www.sciencedirect.com/science/article/pii/S0378775317306328" TargetMode="External"/><Relationship Id="rId95" Type="http://schemas.openxmlformats.org/officeDocument/2006/relationships/hyperlink" Target="https://pubs.acs.org/doi/10.1021/acsami.9b01419" TargetMode="External"/><Relationship Id="rId22" Type="http://schemas.openxmlformats.org/officeDocument/2006/relationships/hyperlink" Target="https://www.sciencedirect.com/science/article/pii/S0008622318304913" TargetMode="External"/><Relationship Id="rId27" Type="http://schemas.openxmlformats.org/officeDocument/2006/relationships/hyperlink" Target="https://www.sciencedirect.com/science/article/pii/S0016236124012894" TargetMode="External"/><Relationship Id="rId43" Type="http://schemas.openxmlformats.org/officeDocument/2006/relationships/hyperlink" Target="https://www.sciencedirect.com/science/article/pii/S0008622317311685?via%3Dihub" TargetMode="External"/><Relationship Id="rId48" Type="http://schemas.openxmlformats.org/officeDocument/2006/relationships/hyperlink" Target="https://www.sciencedirect.com/science/article/pii/S1572665719302899" TargetMode="External"/><Relationship Id="rId64" Type="http://schemas.openxmlformats.org/officeDocument/2006/relationships/hyperlink" Target="https://pubs.rsc.org/en/content/articlelanding/2017/ta/c7ta00639j" TargetMode="External"/><Relationship Id="rId69" Type="http://schemas.openxmlformats.org/officeDocument/2006/relationships/hyperlink" Target="https://pubs.rsc.org/en/content/articlelanding/2017/ta/c7ta01394a" TargetMode="External"/><Relationship Id="rId113" Type="http://schemas.openxmlformats.org/officeDocument/2006/relationships/hyperlink" Target="https://pubs.rsc.org/en/content/articlelanding/2015/ta/c5ta05118e" TargetMode="External"/><Relationship Id="rId118" Type="http://schemas.openxmlformats.org/officeDocument/2006/relationships/printerSettings" Target="../printerSettings/printerSettings1.bin"/><Relationship Id="rId80" Type="http://schemas.openxmlformats.org/officeDocument/2006/relationships/hyperlink" Target="https://www.sciencedirect.com/science/article/pii/S0013468620314341" TargetMode="External"/><Relationship Id="rId85" Type="http://schemas.openxmlformats.org/officeDocument/2006/relationships/hyperlink" Target="https://link.springer.com/article/10.1007/s10853-018-03229-2" TargetMode="External"/><Relationship Id="rId12" Type="http://schemas.openxmlformats.org/officeDocument/2006/relationships/hyperlink" Target="https://www.sciencedirect.com/science/article/pii/S0013468622019260" TargetMode="External"/><Relationship Id="rId17" Type="http://schemas.openxmlformats.org/officeDocument/2006/relationships/hyperlink" Target="https://www.sciencedirect.com/science/article/pii/S0008622318304913" TargetMode="External"/><Relationship Id="rId33" Type="http://schemas.openxmlformats.org/officeDocument/2006/relationships/hyperlink" Target="https://www.sciencedirect.com/science/article/pii/S1385894722059149" TargetMode="External"/><Relationship Id="rId38" Type="http://schemas.openxmlformats.org/officeDocument/2006/relationships/hyperlink" Target="https://pubs.acs.org/doi/10.1021/nn502045y" TargetMode="External"/><Relationship Id="rId59" Type="http://schemas.openxmlformats.org/officeDocument/2006/relationships/hyperlink" Target="https://www.sciencedirect.com/science/article/pii/S0008622317308163?via%3Dihub" TargetMode="External"/><Relationship Id="rId103" Type="http://schemas.openxmlformats.org/officeDocument/2006/relationships/hyperlink" Target="https://pubs.acs.org/doi/full/10.1021/acs.chemmater.9b05235" TargetMode="External"/><Relationship Id="rId108" Type="http://schemas.openxmlformats.org/officeDocument/2006/relationships/hyperlink" Target="https://pubs.acs.org/doi/10.1021/acsami.5c12102" TargetMode="External"/><Relationship Id="rId54" Type="http://schemas.openxmlformats.org/officeDocument/2006/relationships/hyperlink" Target="https://link.springer.com/article/10.1007/s10008-016-3485-z" TargetMode="External"/><Relationship Id="rId70" Type="http://schemas.openxmlformats.org/officeDocument/2006/relationships/hyperlink" Target="https://pubs.rsc.org/en/content/articlelanding/2017/ta/c7ta01394a" TargetMode="External"/><Relationship Id="rId75" Type="http://schemas.openxmlformats.org/officeDocument/2006/relationships/hyperlink" Target="https://pubs.rsc.org/en/content/articlelanding/2017/ta/c7ta01394a" TargetMode="External"/><Relationship Id="rId91" Type="http://schemas.openxmlformats.org/officeDocument/2006/relationships/hyperlink" Target="https://www.sciencedirect.com/science/article/pii/S0378775317306328" TargetMode="External"/><Relationship Id="rId96" Type="http://schemas.openxmlformats.org/officeDocument/2006/relationships/hyperlink" Target="https://pubs.acs.org/doi/10.1021/acsami.9b01419" TargetMode="External"/><Relationship Id="rId1" Type="http://schemas.openxmlformats.org/officeDocument/2006/relationships/hyperlink" Target="https://www.pnas.org/doi/full/10.1073/pnas.2111119118" TargetMode="External"/><Relationship Id="rId6" Type="http://schemas.openxmlformats.org/officeDocument/2006/relationships/hyperlink" Target="https://iastate.app.box.com/file/1436314017403" TargetMode="External"/><Relationship Id="rId23" Type="http://schemas.openxmlformats.org/officeDocument/2006/relationships/hyperlink" Target="https://www.sciencedirect.com/science/article/pii/S0008622318304913" TargetMode="External"/><Relationship Id="rId28" Type="http://schemas.openxmlformats.org/officeDocument/2006/relationships/hyperlink" Target="https://www.sciencedirect.com/science/article/pii/S0016236124012894" TargetMode="External"/><Relationship Id="rId49" Type="http://schemas.openxmlformats.org/officeDocument/2006/relationships/hyperlink" Target="https://www.sciencedirect.com/science/article/pii/S1572665719302899" TargetMode="External"/><Relationship Id="rId114" Type="http://schemas.openxmlformats.org/officeDocument/2006/relationships/hyperlink" Target="https://www.sciencedirect.com/science/article/pii/S2095927318303700?__cf_chl_rt_tk=c4e6l_rGqaK.ZpttM_7_2zHCXkCrVBUGstIj.V_KlNY-1766020916-1.0.1.1-uqKkLmGdIadD2XkOgvLfUOtaz9obXNsWWOQIk4OqBMc" TargetMode="External"/><Relationship Id="rId10" Type="http://schemas.openxmlformats.org/officeDocument/2006/relationships/hyperlink" Target="https://www.sciencedirect.com/science/article/pii/S0013468622019260" TargetMode="External"/><Relationship Id="rId31" Type="http://schemas.openxmlformats.org/officeDocument/2006/relationships/hyperlink" Target="https://www.sciencedirect.com/science/article/pii/S1385894722059149" TargetMode="External"/><Relationship Id="rId44" Type="http://schemas.openxmlformats.org/officeDocument/2006/relationships/hyperlink" Target="https://www.sciencedirect.com/science/article/pii/S0013468618319108" TargetMode="External"/><Relationship Id="rId52" Type="http://schemas.openxmlformats.org/officeDocument/2006/relationships/hyperlink" Target="https://pubs.rsc.org/en/content/articlelanding/2018/ta/c7ta07951f" TargetMode="External"/><Relationship Id="rId60" Type="http://schemas.openxmlformats.org/officeDocument/2006/relationships/hyperlink" Target="https://pubs.rsc.org/en/content/articlehtml/2003/0n/c6ta04877c" TargetMode="External"/><Relationship Id="rId65" Type="http://schemas.openxmlformats.org/officeDocument/2006/relationships/hyperlink" Target="https://pubs.rsc.org/en/content/articlelanding/2017/ta/c7ta00639j" TargetMode="External"/><Relationship Id="rId73" Type="http://schemas.openxmlformats.org/officeDocument/2006/relationships/hyperlink" Target="https://pubs.rsc.org/en/content/articlelanding/2017/ta/c7ta01394a" TargetMode="External"/><Relationship Id="rId78" Type="http://schemas.openxmlformats.org/officeDocument/2006/relationships/hyperlink" Target="https://www.sciencedirect.com/science/article/pii/S0013468620314341" TargetMode="External"/><Relationship Id="rId81" Type="http://schemas.openxmlformats.org/officeDocument/2006/relationships/hyperlink" Target="https://link.springer.com/article/10.1007/s10853-018-03229-2" TargetMode="External"/><Relationship Id="rId86" Type="http://schemas.openxmlformats.org/officeDocument/2006/relationships/hyperlink" Target="https://www.sciencedirect.com/science/article/pii/S0013468620317060" TargetMode="External"/><Relationship Id="rId94" Type="http://schemas.openxmlformats.org/officeDocument/2006/relationships/hyperlink" Target="https://hal.science/hal-03320889/file/C%20Nita%20et%20al.%20-%20J%20Energ%20Chem%202021-HAL.pdf" TargetMode="External"/><Relationship Id="rId99" Type="http://schemas.openxmlformats.org/officeDocument/2006/relationships/hyperlink" Target="https://chemrxiv.org/engage/api-gateway/chemrxiv/assets/orp/resource/item/6153379ed1fc33564cf738c7/original/hard-carbon-derived-from-avocado-peels-as-a-high-capacity-high-performance-anode-material-for-sodium-ion-batteries.pdf" TargetMode="External"/><Relationship Id="rId101" Type="http://schemas.openxmlformats.org/officeDocument/2006/relationships/hyperlink" Target="https://pubs.acs.org/doi/full/10.1021/acs.chemmater.9b05235" TargetMode="External"/><Relationship Id="rId4" Type="http://schemas.openxmlformats.org/officeDocument/2006/relationships/hyperlink" Target="https://www.pnas.org/doi/full/10.1073/pnas.2111119118" TargetMode="External"/><Relationship Id="rId9" Type="http://schemas.openxmlformats.org/officeDocument/2006/relationships/hyperlink" Target="https://www.sciencedirect.com/science/article/pii/S2211379719314020" TargetMode="External"/><Relationship Id="rId13" Type="http://schemas.openxmlformats.org/officeDocument/2006/relationships/hyperlink" Target="https://www.sciencedirect.com/science/article/pii/S0013468622019260" TargetMode="External"/><Relationship Id="rId18" Type="http://schemas.openxmlformats.org/officeDocument/2006/relationships/hyperlink" Target="https://www.sciencedirect.com/science/article/pii/S0008622318304913" TargetMode="External"/><Relationship Id="rId39" Type="http://schemas.openxmlformats.org/officeDocument/2006/relationships/hyperlink" Target="https://pubs.acs.org/doi/10.1021/nn502045y" TargetMode="External"/><Relationship Id="rId109" Type="http://schemas.openxmlformats.org/officeDocument/2006/relationships/hyperlink" Target="https://pubs.acs.org/doi/10.1021/acsami.5c12102" TargetMode="External"/><Relationship Id="rId34" Type="http://schemas.openxmlformats.org/officeDocument/2006/relationships/hyperlink" Target="https://www.sciencedirect.com/science/article/pii/S1385894722059149" TargetMode="External"/><Relationship Id="rId50" Type="http://schemas.openxmlformats.org/officeDocument/2006/relationships/hyperlink" Target="https://www.sciencedirect.com/science/article/pii/S1572665719302899" TargetMode="External"/><Relationship Id="rId55" Type="http://schemas.openxmlformats.org/officeDocument/2006/relationships/hyperlink" Target="https://www.sciencedirect.com/science/article/pii/S0008622317308163?via%3Dihub" TargetMode="External"/><Relationship Id="rId76" Type="http://schemas.openxmlformats.org/officeDocument/2006/relationships/hyperlink" Target="https://chemistry-europe.onlinelibrary.wiley.com/doi/10.1002/celc.201500437" TargetMode="External"/><Relationship Id="rId97" Type="http://schemas.openxmlformats.org/officeDocument/2006/relationships/hyperlink" Target="https://pubs.acs.org/doi/10.1021/acsami.9b01419" TargetMode="External"/><Relationship Id="rId104" Type="http://schemas.openxmlformats.org/officeDocument/2006/relationships/hyperlink" Target="https://pubs.acs.org/doi/full/10.1021/acs.chemmater.9b05235" TargetMode="External"/><Relationship Id="rId7" Type="http://schemas.openxmlformats.org/officeDocument/2006/relationships/hyperlink" Target="https://iastate.app.box.com/file/1436314017403" TargetMode="External"/><Relationship Id="rId71" Type="http://schemas.openxmlformats.org/officeDocument/2006/relationships/hyperlink" Target="https://pubs.rsc.org/en/content/articlelanding/2017/ta/c7ta01394a" TargetMode="External"/><Relationship Id="rId92" Type="http://schemas.openxmlformats.org/officeDocument/2006/relationships/hyperlink" Target="https://hal.science/hal-03320889/file/C%20Nita%20et%20al.%20-%20J%20Energ%20Chem%202021-HAL.pdf" TargetMode="External"/><Relationship Id="rId2" Type="http://schemas.openxmlformats.org/officeDocument/2006/relationships/hyperlink" Target="https://www.pnas.org/doi/full/10.1073/pnas.2111119118" TargetMode="External"/><Relationship Id="rId29" Type="http://schemas.openxmlformats.org/officeDocument/2006/relationships/hyperlink" Target="https://www.sciencedirect.com/science/article/pii/S016943321630695X" TargetMode="External"/><Relationship Id="rId24" Type="http://schemas.openxmlformats.org/officeDocument/2006/relationships/hyperlink" Target="https://www.sciencedirect.com/science/article/pii/S0008622318304913" TargetMode="External"/><Relationship Id="rId40" Type="http://schemas.openxmlformats.org/officeDocument/2006/relationships/hyperlink" Target="https://pubs.acs.org/doi/10.1021/nn502045y" TargetMode="External"/><Relationship Id="rId45" Type="http://schemas.openxmlformats.org/officeDocument/2006/relationships/hyperlink" Target="https://www.sciencedirect.com/science/article/pii/S0013468618319108" TargetMode="External"/><Relationship Id="rId66" Type="http://schemas.openxmlformats.org/officeDocument/2006/relationships/hyperlink" Target="https://pubs.rsc.org/en/content/articlelanding/2017/ta/c7ta00639j" TargetMode="External"/><Relationship Id="rId87" Type="http://schemas.openxmlformats.org/officeDocument/2006/relationships/hyperlink" Target="https://www.sciencedirect.com/science/article/pii/S0013468620317060" TargetMode="External"/><Relationship Id="rId110" Type="http://schemas.openxmlformats.org/officeDocument/2006/relationships/hyperlink" Target="https://pubs.acs.org/doi/10.1021/acsami.5c12102" TargetMode="External"/><Relationship Id="rId115" Type="http://schemas.openxmlformats.org/officeDocument/2006/relationships/hyperlink" Target="https://pubs.rsc.org/en/content/articlelanding/2015/ta/c5ta05118e" TargetMode="External"/><Relationship Id="rId61" Type="http://schemas.openxmlformats.org/officeDocument/2006/relationships/hyperlink" Target="https://pubs.rsc.org/en/content/articlehtml/2003/0n/c6ta04877c" TargetMode="External"/><Relationship Id="rId82" Type="http://schemas.openxmlformats.org/officeDocument/2006/relationships/hyperlink" Target="https://link.springer.com/article/10.1007/s10853-018-03229-2" TargetMode="External"/><Relationship Id="rId19" Type="http://schemas.openxmlformats.org/officeDocument/2006/relationships/hyperlink" Target="https://www.sciencedirect.com/science/article/pii/S0008622318304913" TargetMode="External"/><Relationship Id="rId14" Type="http://schemas.openxmlformats.org/officeDocument/2006/relationships/hyperlink" Target="https://www.sciencedirect.com/science/article/pii/S0378775317306328" TargetMode="External"/><Relationship Id="rId30" Type="http://schemas.openxmlformats.org/officeDocument/2006/relationships/hyperlink" Target="https://www.sciencedirect.com/science/article/pii/S016943321630695X" TargetMode="External"/><Relationship Id="rId35" Type="http://schemas.openxmlformats.org/officeDocument/2006/relationships/hyperlink" Target="https://pubs.acs.org/doi/10.1021/nn502045y" TargetMode="External"/><Relationship Id="rId56" Type="http://schemas.openxmlformats.org/officeDocument/2006/relationships/hyperlink" Target="https://www.sciencedirect.com/science/article/pii/S0008622317308163?via%3Dihub" TargetMode="External"/><Relationship Id="rId77" Type="http://schemas.openxmlformats.org/officeDocument/2006/relationships/hyperlink" Target="https://www.sciencedirect.com/science/article/pii/S0013468620314341" TargetMode="External"/><Relationship Id="rId100" Type="http://schemas.openxmlformats.org/officeDocument/2006/relationships/hyperlink" Target="https://pubs.acs.org/doi/full/10.1021/acs.chemmater.9b05235" TargetMode="External"/><Relationship Id="rId105" Type="http://schemas.openxmlformats.org/officeDocument/2006/relationships/hyperlink" Target="https://pubs.acs.org/doi/full/10.1021/acs.chemmater.9b05235" TargetMode="External"/><Relationship Id="rId8" Type="http://schemas.openxmlformats.org/officeDocument/2006/relationships/hyperlink" Target="https://iastate.app.box.com/file/1436314017403" TargetMode="External"/><Relationship Id="rId51" Type="http://schemas.openxmlformats.org/officeDocument/2006/relationships/hyperlink" Target="https://www.sciencedirect.com/science/article/pii/S1572665719302899" TargetMode="External"/><Relationship Id="rId72" Type="http://schemas.openxmlformats.org/officeDocument/2006/relationships/hyperlink" Target="https://pubs.rsc.org/en/content/articlelanding/2017/ta/c7ta01394a" TargetMode="External"/><Relationship Id="rId93" Type="http://schemas.openxmlformats.org/officeDocument/2006/relationships/hyperlink" Target="https://hal.science/hal-03320889/file/C%20Nita%20et%20al.%20-%20J%20Energ%20Chem%202021-HAL.pdf" TargetMode="External"/><Relationship Id="rId98" Type="http://schemas.openxmlformats.org/officeDocument/2006/relationships/hyperlink" Target="https://chemrxiv.org/engage/api-gateway/chemrxiv/assets/orp/resource/item/6153379ed1fc33564cf738c7/original/hard-carbon-derived-from-avocado-peels-as-a-high-capacity-high-performance-anode-material-for-sodium-ion-batteries.pdf" TargetMode="External"/><Relationship Id="rId3" Type="http://schemas.openxmlformats.org/officeDocument/2006/relationships/hyperlink" Target="https://www.pnas.org/doi/full/10.1073/pnas.2111119118" TargetMode="External"/><Relationship Id="rId25" Type="http://schemas.openxmlformats.org/officeDocument/2006/relationships/hyperlink" Target="https://www.sciencedirect.com/science/article/pii/S0008622318304913" TargetMode="External"/><Relationship Id="rId46" Type="http://schemas.openxmlformats.org/officeDocument/2006/relationships/hyperlink" Target="https://www.sciencedirect.com/science/article/pii/S0013468618319108" TargetMode="External"/><Relationship Id="rId67" Type="http://schemas.openxmlformats.org/officeDocument/2006/relationships/hyperlink" Target="https://pubs.rsc.org/en/content/articlelanding/2017/ta/c7ta00639j" TargetMode="External"/><Relationship Id="rId116" Type="http://schemas.openxmlformats.org/officeDocument/2006/relationships/hyperlink" Target="https://chemistry-europe.onlinelibrary.wiley.com/doi/full/10.1002/celc.201300071" TargetMode="External"/><Relationship Id="rId20" Type="http://schemas.openxmlformats.org/officeDocument/2006/relationships/hyperlink" Target="https://www.sciencedirect.com/science/article/pii/S0008622318304913" TargetMode="External"/><Relationship Id="rId41" Type="http://schemas.openxmlformats.org/officeDocument/2006/relationships/hyperlink" Target="https://www.sciencedirect.com/science/article/pii/S0008622317311685?via%3Dihub" TargetMode="External"/><Relationship Id="rId62" Type="http://schemas.openxmlformats.org/officeDocument/2006/relationships/hyperlink" Target="https://pubs.rsc.org/en/content/articlehtml/2003/0n/c6ta04877c" TargetMode="External"/><Relationship Id="rId83" Type="http://schemas.openxmlformats.org/officeDocument/2006/relationships/hyperlink" Target="https://link.springer.com/article/10.1007/s10853-018-03229-2" TargetMode="External"/><Relationship Id="rId88" Type="http://schemas.openxmlformats.org/officeDocument/2006/relationships/hyperlink" Target="https://www.sciencedirect.com/science/article/pii/S0013468620317060" TargetMode="External"/><Relationship Id="rId111" Type="http://schemas.openxmlformats.org/officeDocument/2006/relationships/hyperlink" Target="https://pubs.rsc.org/en/content/articlelanding/2015/ta/c5ta05118e" TargetMode="External"/><Relationship Id="rId15" Type="http://schemas.openxmlformats.org/officeDocument/2006/relationships/hyperlink" Target="https://www.sciencedirect.com/science/article/pii/S0378775317306328" TargetMode="External"/><Relationship Id="rId36" Type="http://schemas.openxmlformats.org/officeDocument/2006/relationships/hyperlink" Target="https://pubs.acs.org/doi/10.1021/nn502045y" TargetMode="External"/><Relationship Id="rId57" Type="http://schemas.openxmlformats.org/officeDocument/2006/relationships/hyperlink" Target="https://www.sciencedirect.com/science/article/pii/S0008622317308163?via%3Dihub" TargetMode="External"/><Relationship Id="rId106" Type="http://schemas.openxmlformats.org/officeDocument/2006/relationships/hyperlink" Target="https://pubs.acs.org/doi/full/10.1021/acs.chemmater.9b0523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hemistry-europe.onlinelibrary.wiley.com/doi/10.1002/celc.201500437" TargetMode="External"/><Relationship Id="rId13" Type="http://schemas.openxmlformats.org/officeDocument/2006/relationships/hyperlink" Target="https://www.sciencedirect.com/science/article/pii/S0378775317306328" TargetMode="External"/><Relationship Id="rId18" Type="http://schemas.openxmlformats.org/officeDocument/2006/relationships/hyperlink" Target="https://chemistry-europe.onlinelibrary.wiley.com/doi/10.1002/celc.201500437" TargetMode="External"/><Relationship Id="rId26" Type="http://schemas.openxmlformats.org/officeDocument/2006/relationships/hyperlink" Target="https://link.springer.com/article/10.1007/s10008-016-3485-z" TargetMode="External"/><Relationship Id="rId3" Type="http://schemas.openxmlformats.org/officeDocument/2006/relationships/hyperlink" Target="https://www.sciencedirect.com/science/article/pii/S0378775317306328" TargetMode="External"/><Relationship Id="rId21" Type="http://schemas.openxmlformats.org/officeDocument/2006/relationships/hyperlink" Target="https://www.pnas.org/doi/full/10.1073/pnas.2111119118" TargetMode="External"/><Relationship Id="rId7" Type="http://schemas.openxmlformats.org/officeDocument/2006/relationships/hyperlink" Target="https://www.sciencedirect.com/science/article/pii/S0008622317308163?via%3Dihub" TargetMode="External"/><Relationship Id="rId12" Type="http://schemas.openxmlformats.org/officeDocument/2006/relationships/hyperlink" Target="https://iastate.app.box.com/file/1436314017403" TargetMode="External"/><Relationship Id="rId17" Type="http://schemas.openxmlformats.org/officeDocument/2006/relationships/hyperlink" Target="https://www.sciencedirect.com/science/article/pii/S0008622317308163?via%3Dihub" TargetMode="External"/><Relationship Id="rId25" Type="http://schemas.openxmlformats.org/officeDocument/2006/relationships/hyperlink" Target="https://pubs.rsc.org/en/content/articlelanding/2018/ta/c7ta07951f" TargetMode="External"/><Relationship Id="rId2" Type="http://schemas.openxmlformats.org/officeDocument/2006/relationships/hyperlink" Target="https://iastate.app.box.com/file/1436314017403" TargetMode="External"/><Relationship Id="rId16" Type="http://schemas.openxmlformats.org/officeDocument/2006/relationships/hyperlink" Target="https://link.springer.com/article/10.1007/s10008-016-3485-z" TargetMode="External"/><Relationship Id="rId20" Type="http://schemas.openxmlformats.org/officeDocument/2006/relationships/hyperlink" Target="https://link.springer.com/article/10.1007/s10853-018-03229-2" TargetMode="External"/><Relationship Id="rId29" Type="http://schemas.openxmlformats.org/officeDocument/2006/relationships/hyperlink" Target="https://www.sciencedirect.com/science/article/pii/S0013468620314341" TargetMode="External"/><Relationship Id="rId1" Type="http://schemas.openxmlformats.org/officeDocument/2006/relationships/hyperlink" Target="https://www.pnas.org/doi/full/10.1073/pnas.2111119118" TargetMode="External"/><Relationship Id="rId6" Type="http://schemas.openxmlformats.org/officeDocument/2006/relationships/hyperlink" Target="https://link.springer.com/article/10.1007/s10008-016-3485-z" TargetMode="External"/><Relationship Id="rId11" Type="http://schemas.openxmlformats.org/officeDocument/2006/relationships/hyperlink" Target="https://www.pnas.org/doi/full/10.1073/pnas.2111119118" TargetMode="External"/><Relationship Id="rId24" Type="http://schemas.openxmlformats.org/officeDocument/2006/relationships/hyperlink" Target="https://www.sciencedirect.com/science/article/pii/S1385894722059149" TargetMode="External"/><Relationship Id="rId5" Type="http://schemas.openxmlformats.org/officeDocument/2006/relationships/hyperlink" Target="https://pubs.rsc.org/en/content/articlelanding/2018/ta/c7ta07951f" TargetMode="External"/><Relationship Id="rId15" Type="http://schemas.openxmlformats.org/officeDocument/2006/relationships/hyperlink" Target="https://pubs.rsc.org/en/content/articlelanding/2018/ta/c7ta07951f" TargetMode="External"/><Relationship Id="rId23" Type="http://schemas.openxmlformats.org/officeDocument/2006/relationships/hyperlink" Target="https://www.sciencedirect.com/science/article/pii/S0378775317306328" TargetMode="External"/><Relationship Id="rId28" Type="http://schemas.openxmlformats.org/officeDocument/2006/relationships/hyperlink" Target="https://chemistry-europe.onlinelibrary.wiley.com/doi/10.1002/celc.201500437" TargetMode="External"/><Relationship Id="rId10" Type="http://schemas.openxmlformats.org/officeDocument/2006/relationships/hyperlink" Target="https://link.springer.com/article/10.1007/s10853-018-03229-2" TargetMode="External"/><Relationship Id="rId19" Type="http://schemas.openxmlformats.org/officeDocument/2006/relationships/hyperlink" Target="https://www.sciencedirect.com/science/article/pii/S0013468620314341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sciencedirect.com/science/article/pii/S1385894722059149" TargetMode="External"/><Relationship Id="rId9" Type="http://schemas.openxmlformats.org/officeDocument/2006/relationships/hyperlink" Target="https://www.sciencedirect.com/science/article/pii/S0013468620314341" TargetMode="External"/><Relationship Id="rId14" Type="http://schemas.openxmlformats.org/officeDocument/2006/relationships/hyperlink" Target="https://www.sciencedirect.com/science/article/pii/S1385894722059149" TargetMode="External"/><Relationship Id="rId22" Type="http://schemas.openxmlformats.org/officeDocument/2006/relationships/hyperlink" Target="https://iastate.app.box.com/file/1436314017403" TargetMode="External"/><Relationship Id="rId27" Type="http://schemas.openxmlformats.org/officeDocument/2006/relationships/hyperlink" Target="https://www.sciencedirect.com/science/article/pii/S0008622317308163?via%3Dihub" TargetMode="External"/><Relationship Id="rId30" Type="http://schemas.openxmlformats.org/officeDocument/2006/relationships/hyperlink" Target="https://link.springer.com/article/10.1007/s10853-018-03229-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75"/>
  <sheetViews>
    <sheetView tabSelected="1" zoomScale="75" zoomScaleNormal="75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J57" sqref="J57"/>
    </sheetView>
  </sheetViews>
  <sheetFormatPr defaultColWidth="12.54296875" defaultRowHeight="15.75" customHeight="1" x14ac:dyDescent="0.25"/>
  <cols>
    <col min="1" max="1" width="11.7265625" customWidth="1"/>
    <col min="2" max="2" width="17.26953125" customWidth="1"/>
    <col min="3" max="3" width="10.54296875" customWidth="1"/>
    <col min="4" max="4" width="9.54296875" customWidth="1"/>
    <col min="5" max="5" width="10.1796875" customWidth="1"/>
    <col min="6" max="6" width="10.26953125" customWidth="1"/>
    <col min="7" max="7" width="11.54296875" customWidth="1"/>
    <col min="8" max="8" width="7.54296875" customWidth="1"/>
    <col min="9" max="9" width="10.26953125" customWidth="1"/>
    <col min="10" max="10" width="13.54296875" customWidth="1"/>
    <col min="11" max="11" width="11.453125" customWidth="1"/>
    <col min="12" max="12" width="11.81640625" customWidth="1"/>
    <col min="13" max="13" width="12.54296875" customWidth="1"/>
    <col min="14" max="14" width="12.81640625" customWidth="1"/>
    <col min="15" max="15" width="7.1796875" customWidth="1"/>
    <col min="16" max="16" width="6.7265625" customWidth="1"/>
    <col min="17" max="17" width="7.26953125" customWidth="1"/>
    <col min="18" max="18" width="9.453125" customWidth="1"/>
    <col min="19" max="19" width="7.1796875" customWidth="1"/>
    <col min="20" max="20" width="6.81640625" style="71" customWidth="1"/>
    <col min="21" max="21" width="7.7265625" customWidth="1"/>
    <col min="22" max="22" width="7.81640625" style="106" customWidth="1"/>
    <col min="23" max="23" width="7.7265625" style="34" customWidth="1"/>
    <col min="24" max="24" width="10.54296875" customWidth="1"/>
    <col min="25" max="25" width="10.26953125" customWidth="1"/>
    <col min="26" max="26" width="10.54296875" style="80" customWidth="1"/>
    <col min="27" max="27" width="34" customWidth="1"/>
  </cols>
  <sheetData>
    <row r="1" spans="1:27" ht="35.25" customHeight="1" thickTop="1" thickBot="1" x14ac:dyDescent="0.3">
      <c r="A1" s="115" t="s">
        <v>0</v>
      </c>
      <c r="B1" s="117" t="s">
        <v>1</v>
      </c>
      <c r="C1" s="118"/>
      <c r="D1" s="142" t="s">
        <v>2</v>
      </c>
      <c r="E1" s="143"/>
      <c r="F1" s="143"/>
      <c r="G1" s="143"/>
      <c r="H1" s="139" t="s">
        <v>3</v>
      </c>
      <c r="I1" s="140"/>
      <c r="J1" s="140"/>
      <c r="K1" s="140"/>
      <c r="L1" s="140"/>
      <c r="M1" s="140"/>
      <c r="N1" s="141"/>
      <c r="O1" s="119" t="s">
        <v>4</v>
      </c>
      <c r="P1" s="120"/>
      <c r="Q1" s="120"/>
      <c r="R1" s="120"/>
      <c r="S1" s="120"/>
      <c r="T1" s="120"/>
      <c r="U1" s="120"/>
      <c r="V1" s="121"/>
      <c r="W1" s="122" t="s">
        <v>5</v>
      </c>
      <c r="X1" s="118"/>
      <c r="Y1" s="118"/>
      <c r="Z1" s="123"/>
      <c r="AA1" s="30" t="s">
        <v>6</v>
      </c>
    </row>
    <row r="2" spans="1:27" ht="16.5" customHeight="1" thickBot="1" x14ac:dyDescent="0.3">
      <c r="A2" s="116"/>
      <c r="B2" s="124" t="s">
        <v>7</v>
      </c>
      <c r="C2" s="128" t="s">
        <v>8</v>
      </c>
      <c r="D2" s="130" t="s">
        <v>9</v>
      </c>
      <c r="E2" s="132" t="s">
        <v>10</v>
      </c>
      <c r="F2" s="134" t="s">
        <v>11</v>
      </c>
      <c r="G2" s="134" t="s">
        <v>12</v>
      </c>
      <c r="H2" s="135" t="s">
        <v>13</v>
      </c>
      <c r="I2" s="151" t="s">
        <v>14</v>
      </c>
      <c r="J2" s="153" t="s">
        <v>15</v>
      </c>
      <c r="K2" s="155" t="s">
        <v>16</v>
      </c>
      <c r="L2" s="157" t="s">
        <v>17</v>
      </c>
      <c r="M2" s="159" t="s">
        <v>18</v>
      </c>
      <c r="N2" s="160"/>
      <c r="O2" s="149" t="s">
        <v>19</v>
      </c>
      <c r="P2" s="137" t="s">
        <v>20</v>
      </c>
      <c r="Q2" s="137" t="s">
        <v>21</v>
      </c>
      <c r="R2" s="137" t="s">
        <v>22</v>
      </c>
      <c r="S2" s="137" t="s">
        <v>23</v>
      </c>
      <c r="T2" s="138"/>
      <c r="U2" s="113" t="s">
        <v>24</v>
      </c>
      <c r="V2" s="144"/>
      <c r="W2" s="145" t="s">
        <v>25</v>
      </c>
      <c r="X2" s="147" t="s">
        <v>26</v>
      </c>
      <c r="Y2" s="113" t="s">
        <v>27</v>
      </c>
      <c r="Z2" s="126" t="s">
        <v>28</v>
      </c>
      <c r="AA2" s="1"/>
    </row>
    <row r="3" spans="1:27" ht="32.5" customHeight="1" thickTop="1" thickBot="1" x14ac:dyDescent="0.3">
      <c r="A3" s="116"/>
      <c r="B3" s="125"/>
      <c r="C3" s="129"/>
      <c r="D3" s="131"/>
      <c r="E3" s="133"/>
      <c r="F3" s="114"/>
      <c r="G3" s="114"/>
      <c r="H3" s="136"/>
      <c r="I3" s="152"/>
      <c r="J3" s="154"/>
      <c r="K3" s="156"/>
      <c r="L3" s="158"/>
      <c r="M3" s="25" t="s">
        <v>29</v>
      </c>
      <c r="N3" s="26" t="s">
        <v>30</v>
      </c>
      <c r="O3" s="150"/>
      <c r="P3" s="114"/>
      <c r="Q3" s="114"/>
      <c r="R3" s="114"/>
      <c r="S3" s="2" t="s">
        <v>31</v>
      </c>
      <c r="T3" s="66" t="s">
        <v>32</v>
      </c>
      <c r="U3" s="3" t="s">
        <v>31</v>
      </c>
      <c r="V3" s="104" t="s">
        <v>32</v>
      </c>
      <c r="W3" s="146"/>
      <c r="X3" s="148"/>
      <c r="Y3" s="114"/>
      <c r="Z3" s="127"/>
      <c r="AA3" s="54" t="s">
        <v>33</v>
      </c>
    </row>
    <row r="4" spans="1:27" ht="13" thickTop="1" x14ac:dyDescent="0.25">
      <c r="A4" s="27" t="s">
        <v>34</v>
      </c>
      <c r="B4" s="14" t="s">
        <v>35</v>
      </c>
      <c r="C4" s="35" t="s">
        <v>36</v>
      </c>
      <c r="D4" s="35" t="s">
        <v>37</v>
      </c>
      <c r="E4" s="35" t="s">
        <v>38</v>
      </c>
      <c r="F4" s="14">
        <v>10</v>
      </c>
      <c r="G4" s="14">
        <v>900</v>
      </c>
      <c r="H4" s="14">
        <v>3.42</v>
      </c>
      <c r="I4" s="14">
        <v>3.85</v>
      </c>
      <c r="J4" s="14">
        <v>279.5</v>
      </c>
      <c r="K4" s="14">
        <v>0.108</v>
      </c>
      <c r="L4" s="14"/>
      <c r="M4" s="14"/>
      <c r="N4" s="14"/>
      <c r="O4" s="55">
        <v>30</v>
      </c>
      <c r="P4" s="56">
        <v>2</v>
      </c>
      <c r="Q4" s="14">
        <v>80.099999999999994</v>
      </c>
      <c r="R4" s="14">
        <v>217.8</v>
      </c>
      <c r="S4" s="14">
        <v>137.69999999999999</v>
      </c>
      <c r="T4" s="109">
        <f t="shared" ref="T4:T12" si="0">S4/R4</f>
        <v>0.63223140495867758</v>
      </c>
      <c r="U4" s="23">
        <v>80.099999999999994</v>
      </c>
      <c r="V4" s="67">
        <f t="shared" ref="V4:V12" si="1">U4/R4</f>
        <v>0.36776859504132225</v>
      </c>
      <c r="W4" s="57" t="s">
        <v>39</v>
      </c>
      <c r="X4" s="4">
        <v>207.2</v>
      </c>
      <c r="Y4" s="5">
        <v>168.6</v>
      </c>
      <c r="Z4" s="77">
        <f t="shared" ref="Z4:Z7" si="2">Y4/X4</f>
        <v>0.81370656370656369</v>
      </c>
      <c r="AA4" s="6" t="s">
        <v>40</v>
      </c>
    </row>
    <row r="5" spans="1:27" ht="12.5" x14ac:dyDescent="0.25">
      <c r="A5" s="28" t="s">
        <v>41</v>
      </c>
      <c r="B5" s="14" t="s">
        <v>35</v>
      </c>
      <c r="C5" s="35" t="s">
        <v>36</v>
      </c>
      <c r="D5" s="35" t="s">
        <v>37</v>
      </c>
      <c r="E5" s="35" t="s">
        <v>38</v>
      </c>
      <c r="F5" s="14">
        <v>10</v>
      </c>
      <c r="G5" s="32">
        <v>1100</v>
      </c>
      <c r="H5" s="22">
        <v>3</v>
      </c>
      <c r="I5" s="14">
        <v>3.83</v>
      </c>
      <c r="J5" s="14">
        <v>9.1999999999999993</v>
      </c>
      <c r="K5" s="14">
        <v>3.0000000000000001E-3</v>
      </c>
      <c r="L5" s="14">
        <v>1.91</v>
      </c>
      <c r="M5" s="14"/>
      <c r="N5" s="14"/>
      <c r="O5" s="55">
        <v>30</v>
      </c>
      <c r="P5" s="56">
        <v>2</v>
      </c>
      <c r="Q5" s="14">
        <v>88.9</v>
      </c>
      <c r="R5" s="14">
        <v>299.39999999999998</v>
      </c>
      <c r="S5" s="23">
        <f>R5-U5</f>
        <v>146.89999999999998</v>
      </c>
      <c r="T5" s="109">
        <f t="shared" si="0"/>
        <v>0.49064796259185034</v>
      </c>
      <c r="U5" s="23">
        <v>152.5</v>
      </c>
      <c r="V5" s="67">
        <f t="shared" si="1"/>
        <v>0.50935203740814972</v>
      </c>
      <c r="W5" s="57"/>
      <c r="X5" s="24">
        <v>282.5</v>
      </c>
      <c r="Y5" s="18">
        <v>242.4</v>
      </c>
      <c r="Z5" s="78">
        <f t="shared" si="2"/>
        <v>0.8580530973451328</v>
      </c>
      <c r="AA5" s="6" t="s">
        <v>40</v>
      </c>
    </row>
    <row r="6" spans="1:27" ht="12.5" x14ac:dyDescent="0.25">
      <c r="A6" s="28" t="s">
        <v>42</v>
      </c>
      <c r="B6" s="14" t="s">
        <v>35</v>
      </c>
      <c r="C6" s="35" t="s">
        <v>36</v>
      </c>
      <c r="D6" s="35" t="s">
        <v>37</v>
      </c>
      <c r="E6" s="35" t="s">
        <v>38</v>
      </c>
      <c r="F6" s="14">
        <v>10</v>
      </c>
      <c r="G6" s="14">
        <v>1300</v>
      </c>
      <c r="H6" s="14">
        <v>2.5299999999999998</v>
      </c>
      <c r="I6" s="14">
        <v>3.73</v>
      </c>
      <c r="J6" s="14">
        <v>3.2</v>
      </c>
      <c r="K6" s="14">
        <v>1E-3</v>
      </c>
      <c r="L6" s="14"/>
      <c r="M6" s="14"/>
      <c r="N6" s="14"/>
      <c r="O6" s="55">
        <v>30</v>
      </c>
      <c r="P6" s="56">
        <v>2</v>
      </c>
      <c r="Q6" s="14">
        <v>91.2</v>
      </c>
      <c r="R6" s="23">
        <f>S6+U6</f>
        <v>282.60000000000002</v>
      </c>
      <c r="S6" s="14">
        <v>112.6</v>
      </c>
      <c r="T6" s="109">
        <f t="shared" si="0"/>
        <v>0.39844302901627737</v>
      </c>
      <c r="U6" s="23">
        <v>170</v>
      </c>
      <c r="V6" s="67">
        <f t="shared" si="1"/>
        <v>0.60155697098372252</v>
      </c>
      <c r="W6" s="57"/>
      <c r="X6" s="7">
        <v>266.8</v>
      </c>
      <c r="Y6" s="5">
        <v>229</v>
      </c>
      <c r="Z6" s="77">
        <f t="shared" si="2"/>
        <v>0.85832083958020988</v>
      </c>
      <c r="AA6" s="6" t="s">
        <v>40</v>
      </c>
    </row>
    <row r="7" spans="1:27" ht="13" thickBot="1" x14ac:dyDescent="0.3">
      <c r="A7" s="29" t="s">
        <v>43</v>
      </c>
      <c r="B7" s="14" t="s">
        <v>35</v>
      </c>
      <c r="C7" s="35" t="s">
        <v>36</v>
      </c>
      <c r="D7" s="35" t="s">
        <v>37</v>
      </c>
      <c r="E7" s="35" t="s">
        <v>38</v>
      </c>
      <c r="F7" s="14">
        <v>10</v>
      </c>
      <c r="G7" s="14">
        <v>1100</v>
      </c>
      <c r="H7" s="14">
        <v>3.25</v>
      </c>
      <c r="I7" s="14">
        <v>3.99</v>
      </c>
      <c r="J7" s="14">
        <v>57.4</v>
      </c>
      <c r="K7" s="14">
        <v>2.1999999999999999E-2</v>
      </c>
      <c r="L7" s="14">
        <v>1.76</v>
      </c>
      <c r="M7" s="14"/>
      <c r="N7" s="14"/>
      <c r="O7" s="55">
        <v>30</v>
      </c>
      <c r="P7" s="56">
        <v>2</v>
      </c>
      <c r="Q7" s="14">
        <v>80.599999999999994</v>
      </c>
      <c r="R7" s="14">
        <v>272</v>
      </c>
      <c r="S7" s="8">
        <f t="shared" ref="S7:S12" si="3">R7-U7</f>
        <v>137.80000000000001</v>
      </c>
      <c r="T7" s="110">
        <f t="shared" si="0"/>
        <v>0.50661764705882362</v>
      </c>
      <c r="U7" s="8">
        <v>134.19999999999999</v>
      </c>
      <c r="V7" s="68">
        <f t="shared" si="1"/>
        <v>0.49338235294117644</v>
      </c>
      <c r="W7" s="57"/>
      <c r="X7" s="24">
        <v>235.6</v>
      </c>
      <c r="Y7" s="18">
        <v>161.30000000000001</v>
      </c>
      <c r="Z7" s="78">
        <f t="shared" si="2"/>
        <v>0.68463497453310707</v>
      </c>
      <c r="AA7" s="6" t="s">
        <v>40</v>
      </c>
    </row>
    <row r="8" spans="1:27" ht="12.5" x14ac:dyDescent="0.25">
      <c r="A8" s="27" t="s">
        <v>44</v>
      </c>
      <c r="B8" s="14" t="s">
        <v>45</v>
      </c>
      <c r="C8" s="14" t="s">
        <v>46</v>
      </c>
      <c r="D8" s="14" t="s">
        <v>47</v>
      </c>
      <c r="E8" s="14" t="s">
        <v>38</v>
      </c>
      <c r="F8" s="14">
        <v>10</v>
      </c>
      <c r="G8" s="9">
        <v>1200</v>
      </c>
      <c r="H8" s="9">
        <v>1.06</v>
      </c>
      <c r="I8" s="9"/>
      <c r="J8" s="9">
        <v>20.21</v>
      </c>
      <c r="K8" s="9"/>
      <c r="L8" s="9"/>
      <c r="M8" s="9"/>
      <c r="N8" s="9"/>
      <c r="O8" s="55">
        <v>20</v>
      </c>
      <c r="P8" s="56">
        <v>2</v>
      </c>
      <c r="Q8" s="9">
        <v>75</v>
      </c>
      <c r="R8" s="9">
        <v>234</v>
      </c>
      <c r="S8" s="10">
        <f t="shared" si="3"/>
        <v>120.1</v>
      </c>
      <c r="T8" s="110">
        <f t="shared" si="0"/>
        <v>0.5132478632478632</v>
      </c>
      <c r="U8" s="10">
        <v>113.9</v>
      </c>
      <c r="V8" s="68">
        <f t="shared" si="1"/>
        <v>0.4867521367521368</v>
      </c>
      <c r="W8" s="57" t="s">
        <v>39</v>
      </c>
      <c r="X8" s="11">
        <v>95</v>
      </c>
      <c r="Y8" s="56"/>
      <c r="Z8" s="78"/>
      <c r="AA8" s="6" t="s">
        <v>48</v>
      </c>
    </row>
    <row r="9" spans="1:27" ht="12.5" x14ac:dyDescent="0.25">
      <c r="A9" s="28" t="s">
        <v>49</v>
      </c>
      <c r="B9" s="14" t="s">
        <v>45</v>
      </c>
      <c r="C9" s="14" t="s">
        <v>46</v>
      </c>
      <c r="D9" s="14" t="s">
        <v>47</v>
      </c>
      <c r="E9" s="14" t="s">
        <v>38</v>
      </c>
      <c r="F9" s="14">
        <v>10</v>
      </c>
      <c r="G9" s="9">
        <v>1200</v>
      </c>
      <c r="H9" s="9">
        <v>1.06</v>
      </c>
      <c r="I9" s="9"/>
      <c r="J9" s="9">
        <v>245.69</v>
      </c>
      <c r="K9" s="9"/>
      <c r="L9" s="9"/>
      <c r="M9" s="9"/>
      <c r="N9" s="9"/>
      <c r="O9" s="55">
        <v>20</v>
      </c>
      <c r="P9" s="56">
        <v>2</v>
      </c>
      <c r="Q9" s="9">
        <v>47</v>
      </c>
      <c r="R9" s="9">
        <v>140</v>
      </c>
      <c r="S9" s="8">
        <f t="shared" si="3"/>
        <v>97.7</v>
      </c>
      <c r="T9" s="110">
        <f t="shared" si="0"/>
        <v>0.69785714285714284</v>
      </c>
      <c r="U9" s="8">
        <v>42.3</v>
      </c>
      <c r="V9" s="68">
        <f t="shared" si="1"/>
        <v>0.3021428571428571</v>
      </c>
      <c r="W9" s="15"/>
      <c r="X9" s="7">
        <v>52.3</v>
      </c>
      <c r="Y9" s="18"/>
      <c r="Z9" s="78"/>
      <c r="AA9" s="6" t="s">
        <v>48</v>
      </c>
    </row>
    <row r="10" spans="1:27" ht="12.5" x14ac:dyDescent="0.25">
      <c r="A10" s="28" t="s">
        <v>50</v>
      </c>
      <c r="B10" s="14" t="s">
        <v>45</v>
      </c>
      <c r="C10" s="14" t="s">
        <v>46</v>
      </c>
      <c r="D10" s="14" t="s">
        <v>47</v>
      </c>
      <c r="E10" s="14" t="s">
        <v>38</v>
      </c>
      <c r="F10" s="14">
        <v>10</v>
      </c>
      <c r="G10" s="9">
        <v>1200</v>
      </c>
      <c r="H10" s="9">
        <v>1.06</v>
      </c>
      <c r="I10" s="9"/>
      <c r="J10" s="9">
        <v>13.71</v>
      </c>
      <c r="K10" s="9"/>
      <c r="L10" s="9"/>
      <c r="M10" s="9"/>
      <c r="N10" s="9"/>
      <c r="O10" s="55">
        <v>20</v>
      </c>
      <c r="P10" s="56">
        <v>2</v>
      </c>
      <c r="Q10" s="9">
        <v>80</v>
      </c>
      <c r="R10" s="9">
        <v>261</v>
      </c>
      <c r="S10" s="8">
        <f t="shared" si="3"/>
        <v>143.1</v>
      </c>
      <c r="T10" s="110">
        <f t="shared" si="0"/>
        <v>0.5482758620689655</v>
      </c>
      <c r="U10" s="8">
        <v>117.9</v>
      </c>
      <c r="V10" s="68">
        <f t="shared" si="1"/>
        <v>0.4517241379310345</v>
      </c>
      <c r="W10" s="15"/>
      <c r="X10" s="7">
        <v>141.19999999999999</v>
      </c>
      <c r="Y10" s="18"/>
      <c r="Z10" s="78"/>
      <c r="AA10" s="6" t="s">
        <v>48</v>
      </c>
    </row>
    <row r="11" spans="1:27" ht="13" thickBot="1" x14ac:dyDescent="0.3">
      <c r="A11" s="29" t="s">
        <v>51</v>
      </c>
      <c r="B11" s="14" t="s">
        <v>45</v>
      </c>
      <c r="C11" s="14" t="s">
        <v>46</v>
      </c>
      <c r="D11" s="14" t="s">
        <v>47</v>
      </c>
      <c r="E11" s="14" t="s">
        <v>38</v>
      </c>
      <c r="F11" s="14">
        <v>10</v>
      </c>
      <c r="G11" s="9">
        <v>1200</v>
      </c>
      <c r="H11" s="9">
        <v>1.17</v>
      </c>
      <c r="I11" s="9"/>
      <c r="J11" s="9">
        <v>192.91</v>
      </c>
      <c r="K11" s="9"/>
      <c r="L11" s="9"/>
      <c r="M11" s="9"/>
      <c r="N11" s="9"/>
      <c r="O11" s="55">
        <v>20</v>
      </c>
      <c r="P11" s="56">
        <v>2</v>
      </c>
      <c r="Q11" s="9">
        <v>59</v>
      </c>
      <c r="R11" s="9">
        <v>196</v>
      </c>
      <c r="S11" s="8">
        <f t="shared" si="3"/>
        <v>147.80000000000001</v>
      </c>
      <c r="T11" s="110">
        <f t="shared" si="0"/>
        <v>0.75408163265306127</v>
      </c>
      <c r="U11" s="8">
        <v>48.2</v>
      </c>
      <c r="V11" s="68">
        <f t="shared" si="1"/>
        <v>0.24591836734693878</v>
      </c>
      <c r="W11" s="15"/>
      <c r="X11" s="7">
        <v>59.7</v>
      </c>
      <c r="Y11" s="18"/>
      <c r="Z11" s="78"/>
      <c r="AA11" s="6" t="s">
        <v>48</v>
      </c>
    </row>
    <row r="12" spans="1:27" ht="13" thickBot="1" x14ac:dyDescent="0.3">
      <c r="A12" s="59" t="s">
        <v>52</v>
      </c>
      <c r="B12" s="14" t="s">
        <v>53</v>
      </c>
      <c r="C12" s="14" t="s">
        <v>54</v>
      </c>
      <c r="D12" s="14" t="s">
        <v>55</v>
      </c>
      <c r="E12" s="14" t="s">
        <v>56</v>
      </c>
      <c r="F12" s="14">
        <v>10</v>
      </c>
      <c r="G12" s="9">
        <v>1100</v>
      </c>
      <c r="H12" s="9">
        <v>1.05</v>
      </c>
      <c r="I12" s="12">
        <v>4</v>
      </c>
      <c r="J12" s="9"/>
      <c r="K12" s="9"/>
      <c r="L12" s="9"/>
      <c r="M12" s="9"/>
      <c r="N12" s="9"/>
      <c r="O12" s="32">
        <v>50</v>
      </c>
      <c r="P12" s="14">
        <v>2.5</v>
      </c>
      <c r="Q12" s="9">
        <v>78</v>
      </c>
      <c r="R12" s="9">
        <v>308</v>
      </c>
      <c r="S12" s="8">
        <f t="shared" si="3"/>
        <v>287.8</v>
      </c>
      <c r="T12" s="110">
        <f t="shared" si="0"/>
        <v>0.93441558441558448</v>
      </c>
      <c r="U12" s="8">
        <v>20.2</v>
      </c>
      <c r="V12" s="68">
        <f t="shared" si="1"/>
        <v>6.5584415584415579E-2</v>
      </c>
      <c r="W12" s="15" t="s">
        <v>39</v>
      </c>
      <c r="X12" s="24">
        <v>249</v>
      </c>
      <c r="Y12" s="18">
        <v>97</v>
      </c>
      <c r="Z12" s="78">
        <f>Y12/X12</f>
        <v>0.38955823293172692</v>
      </c>
      <c r="AA12" s="6" t="s">
        <v>57</v>
      </c>
    </row>
    <row r="13" spans="1:27" ht="12.5" x14ac:dyDescent="0.25">
      <c r="A13" s="27" t="s">
        <v>58</v>
      </c>
      <c r="B13" s="14" t="s">
        <v>35</v>
      </c>
      <c r="C13" s="35" t="s">
        <v>36</v>
      </c>
      <c r="D13" s="14" t="s">
        <v>59</v>
      </c>
      <c r="E13" s="14" t="s">
        <v>56</v>
      </c>
      <c r="F13" s="14">
        <v>10</v>
      </c>
      <c r="G13" s="9">
        <v>1300</v>
      </c>
      <c r="H13" s="9">
        <v>1.8129999999999999</v>
      </c>
      <c r="I13" s="10">
        <v>3.81</v>
      </c>
      <c r="J13" s="9">
        <v>51.25</v>
      </c>
      <c r="K13" s="9">
        <v>0.05</v>
      </c>
      <c r="L13" s="9"/>
      <c r="M13" s="19"/>
      <c r="N13" s="10">
        <v>0.17</v>
      </c>
      <c r="O13" s="32">
        <v>30</v>
      </c>
      <c r="P13" s="23">
        <v>2.5</v>
      </c>
      <c r="Q13" s="9">
        <v>56.14</v>
      </c>
      <c r="R13" s="9">
        <v>236.1</v>
      </c>
      <c r="S13" s="8">
        <f>R13*T13</f>
        <v>141.66</v>
      </c>
      <c r="T13" s="111">
        <v>0.6</v>
      </c>
      <c r="U13" s="8">
        <f>R13*V13</f>
        <v>94.44</v>
      </c>
      <c r="V13" s="69">
        <v>0.4</v>
      </c>
      <c r="W13" s="15" t="s">
        <v>39</v>
      </c>
      <c r="X13" s="7">
        <v>188</v>
      </c>
      <c r="Y13" s="18">
        <v>110.4</v>
      </c>
      <c r="Z13" s="77">
        <f>Y13/X13</f>
        <v>0.58723404255319156</v>
      </c>
      <c r="AA13" s="37" t="s">
        <v>60</v>
      </c>
    </row>
    <row r="14" spans="1:27" ht="12.5" x14ac:dyDescent="0.25">
      <c r="A14" s="28" t="s">
        <v>61</v>
      </c>
      <c r="B14" s="14" t="s">
        <v>35</v>
      </c>
      <c r="C14" s="35" t="s">
        <v>36</v>
      </c>
      <c r="D14" s="14" t="s">
        <v>59</v>
      </c>
      <c r="E14" s="14" t="s">
        <v>56</v>
      </c>
      <c r="F14" s="14">
        <v>10</v>
      </c>
      <c r="G14" s="9">
        <v>1300</v>
      </c>
      <c r="H14" s="9">
        <v>1.5329999999999999</v>
      </c>
      <c r="I14" s="10">
        <v>3.83</v>
      </c>
      <c r="J14" s="9">
        <v>99.94</v>
      </c>
      <c r="K14" s="9">
        <v>0.06</v>
      </c>
      <c r="L14" s="9"/>
      <c r="M14" s="10"/>
      <c r="N14" s="10">
        <v>0.22</v>
      </c>
      <c r="O14" s="32">
        <v>30</v>
      </c>
      <c r="P14" s="23">
        <v>2.5</v>
      </c>
      <c r="Q14" s="10">
        <v>52.5</v>
      </c>
      <c r="R14" s="10">
        <v>220</v>
      </c>
      <c r="S14" s="17">
        <f>R14*T14</f>
        <v>127.6</v>
      </c>
      <c r="T14" s="111">
        <v>0.57999999999999996</v>
      </c>
      <c r="U14" s="8">
        <f>R14*V14</f>
        <v>92.399999999999991</v>
      </c>
      <c r="V14" s="69">
        <v>0.42</v>
      </c>
      <c r="W14" s="15"/>
      <c r="X14" s="7">
        <v>115</v>
      </c>
      <c r="Y14" s="5">
        <v>57.9</v>
      </c>
      <c r="Z14" s="77">
        <f t="shared" ref="Z14:Z16" si="4">Y14/X14</f>
        <v>0.50347826086956515</v>
      </c>
      <c r="AA14" s="6" t="s">
        <v>62</v>
      </c>
    </row>
    <row r="15" spans="1:27" ht="12.5" x14ac:dyDescent="0.25">
      <c r="A15" s="28" t="s">
        <v>63</v>
      </c>
      <c r="B15" s="14" t="s">
        <v>35</v>
      </c>
      <c r="C15" s="35" t="s">
        <v>36</v>
      </c>
      <c r="D15" s="14" t="s">
        <v>59</v>
      </c>
      <c r="E15" s="14" t="s">
        <v>56</v>
      </c>
      <c r="F15" s="14">
        <v>10</v>
      </c>
      <c r="G15" s="9">
        <v>1300</v>
      </c>
      <c r="H15" s="9">
        <v>1.601</v>
      </c>
      <c r="I15" s="10">
        <v>3.86</v>
      </c>
      <c r="J15" s="9">
        <v>195.67</v>
      </c>
      <c r="K15" s="9">
        <v>0.28999999999999998</v>
      </c>
      <c r="L15" s="9"/>
      <c r="M15" s="10"/>
      <c r="N15" s="19">
        <v>0.2</v>
      </c>
      <c r="O15" s="32">
        <v>30</v>
      </c>
      <c r="P15" s="23">
        <v>2.5</v>
      </c>
      <c r="Q15" s="10">
        <v>48.2</v>
      </c>
      <c r="R15" s="10">
        <v>183</v>
      </c>
      <c r="S15" s="17">
        <f t="shared" ref="S15:S16" si="5">R15*T15</f>
        <v>144.57</v>
      </c>
      <c r="T15" s="111">
        <v>0.79</v>
      </c>
      <c r="U15" s="8">
        <f t="shared" ref="U15:U16" si="6">R15*V15</f>
        <v>38.43</v>
      </c>
      <c r="V15" s="69">
        <v>0.21</v>
      </c>
      <c r="W15" s="15"/>
      <c r="X15" s="7">
        <v>153</v>
      </c>
      <c r="Y15" s="5">
        <v>103</v>
      </c>
      <c r="Z15" s="77">
        <f t="shared" si="4"/>
        <v>0.67320261437908502</v>
      </c>
      <c r="AA15" s="6" t="s">
        <v>62</v>
      </c>
    </row>
    <row r="16" spans="1:27" ht="13" thickBot="1" x14ac:dyDescent="0.3">
      <c r="A16" s="29" t="s">
        <v>64</v>
      </c>
      <c r="B16" s="14" t="s">
        <v>35</v>
      </c>
      <c r="C16" s="35" t="s">
        <v>36</v>
      </c>
      <c r="D16" s="14" t="s">
        <v>59</v>
      </c>
      <c r="E16" s="14" t="s">
        <v>56</v>
      </c>
      <c r="F16" s="14">
        <v>10</v>
      </c>
      <c r="G16" s="9">
        <v>1300</v>
      </c>
      <c r="H16" s="9">
        <v>1.5409999999999999</v>
      </c>
      <c r="I16" s="10">
        <v>3.87</v>
      </c>
      <c r="J16" s="9">
        <v>207.9</v>
      </c>
      <c r="K16" s="9">
        <v>0.28999999999999998</v>
      </c>
      <c r="L16" s="9"/>
      <c r="M16" s="10"/>
      <c r="N16" s="19">
        <v>0.5</v>
      </c>
      <c r="O16" s="32">
        <v>30</v>
      </c>
      <c r="P16" s="23">
        <v>2.5</v>
      </c>
      <c r="Q16" s="10">
        <v>47.9</v>
      </c>
      <c r="R16" s="10">
        <v>185</v>
      </c>
      <c r="S16" s="17">
        <f t="shared" si="5"/>
        <v>118.4</v>
      </c>
      <c r="T16" s="111">
        <v>0.64</v>
      </c>
      <c r="U16" s="8">
        <f t="shared" si="6"/>
        <v>66.599999999999994</v>
      </c>
      <c r="V16" s="69">
        <v>0.36</v>
      </c>
      <c r="W16" s="15"/>
      <c r="X16" s="7">
        <v>128</v>
      </c>
      <c r="Y16" s="5">
        <v>105</v>
      </c>
      <c r="Z16" s="77">
        <f t="shared" si="4"/>
        <v>0.8203125</v>
      </c>
      <c r="AA16" s="6" t="s">
        <v>62</v>
      </c>
    </row>
    <row r="17" spans="1:27" ht="12.5" x14ac:dyDescent="0.25">
      <c r="A17" s="27" t="s">
        <v>65</v>
      </c>
      <c r="B17" s="14" t="s">
        <v>45</v>
      </c>
      <c r="C17" s="14" t="s">
        <v>46</v>
      </c>
      <c r="D17" s="14" t="s">
        <v>66</v>
      </c>
      <c r="E17" s="14" t="s">
        <v>56</v>
      </c>
      <c r="F17" s="14">
        <v>10</v>
      </c>
      <c r="G17" s="9">
        <v>800</v>
      </c>
      <c r="H17" s="9">
        <v>0.34</v>
      </c>
      <c r="I17" s="14">
        <v>3.8458000000000001</v>
      </c>
      <c r="J17" s="9">
        <v>9.9740000000000002</v>
      </c>
      <c r="K17" s="9">
        <v>0.34</v>
      </c>
      <c r="L17" s="9"/>
      <c r="M17" s="23">
        <v>8.4</v>
      </c>
      <c r="N17" s="22">
        <v>1.0900000000000001</v>
      </c>
      <c r="O17" s="32">
        <v>50</v>
      </c>
      <c r="P17" s="23">
        <v>3</v>
      </c>
      <c r="Q17" s="14">
        <v>53.1</v>
      </c>
      <c r="R17" s="21">
        <f>S17+U17</f>
        <v>142</v>
      </c>
      <c r="S17" s="9">
        <v>99</v>
      </c>
      <c r="T17" s="111">
        <f>S17/R17</f>
        <v>0.69718309859154926</v>
      </c>
      <c r="U17" s="21">
        <v>43</v>
      </c>
      <c r="V17" s="69">
        <f>U17/R17</f>
        <v>0.30281690140845069</v>
      </c>
      <c r="W17" s="15" t="s">
        <v>39</v>
      </c>
      <c r="X17" s="24">
        <v>111.321</v>
      </c>
      <c r="Y17" s="18">
        <v>56.918999999999997</v>
      </c>
      <c r="Z17" s="78">
        <f t="shared" ref="Z17:Z20" si="7">Y17/X17</f>
        <v>0.51130514458188481</v>
      </c>
      <c r="AA17" s="6" t="s">
        <v>67</v>
      </c>
    </row>
    <row r="18" spans="1:27" ht="12.5" x14ac:dyDescent="0.25">
      <c r="A18" s="28" t="s">
        <v>68</v>
      </c>
      <c r="B18" s="14" t="s">
        <v>45</v>
      </c>
      <c r="C18" s="14" t="s">
        <v>46</v>
      </c>
      <c r="D18" s="14" t="s">
        <v>66</v>
      </c>
      <c r="E18" s="14" t="s">
        <v>56</v>
      </c>
      <c r="F18" s="14">
        <v>10</v>
      </c>
      <c r="G18" s="9">
        <v>1000</v>
      </c>
      <c r="H18" s="9">
        <v>0.41</v>
      </c>
      <c r="I18" s="9">
        <v>3.8129</v>
      </c>
      <c r="J18" s="9">
        <v>9.0250000000000004</v>
      </c>
      <c r="K18" s="9">
        <v>0.41</v>
      </c>
      <c r="L18" s="9"/>
      <c r="M18" s="23">
        <v>9</v>
      </c>
      <c r="N18" s="22">
        <v>1.1399999999999999</v>
      </c>
      <c r="O18" s="32">
        <v>50</v>
      </c>
      <c r="P18" s="23">
        <v>3</v>
      </c>
      <c r="Q18" s="9">
        <v>53.7</v>
      </c>
      <c r="R18" s="21">
        <f t="shared" ref="R18:R20" si="8">S18+U18</f>
        <v>279</v>
      </c>
      <c r="S18" s="9">
        <v>96</v>
      </c>
      <c r="T18" s="111">
        <f t="shared" ref="T18:T20" si="9">S18/R18</f>
        <v>0.34408602150537637</v>
      </c>
      <c r="U18" s="21">
        <v>183</v>
      </c>
      <c r="V18" s="69">
        <f t="shared" ref="V18:V20" si="10">U18/R18</f>
        <v>0.65591397849462363</v>
      </c>
      <c r="X18" s="24">
        <v>229.16</v>
      </c>
      <c r="Y18" s="18">
        <v>101.84</v>
      </c>
      <c r="Z18" s="78">
        <f t="shared" si="7"/>
        <v>0.44440565543724908</v>
      </c>
      <c r="AA18" s="6" t="s">
        <v>67</v>
      </c>
    </row>
    <row r="19" spans="1:27" ht="12.5" x14ac:dyDescent="0.25">
      <c r="A19" s="28" t="s">
        <v>69</v>
      </c>
      <c r="B19" s="14" t="s">
        <v>45</v>
      </c>
      <c r="C19" s="14" t="s">
        <v>46</v>
      </c>
      <c r="D19" s="14" t="s">
        <v>66</v>
      </c>
      <c r="E19" s="14" t="s">
        <v>56</v>
      </c>
      <c r="F19" s="14">
        <v>10</v>
      </c>
      <c r="G19" s="9">
        <v>1200</v>
      </c>
      <c r="H19" s="9">
        <v>0.48</v>
      </c>
      <c r="I19" s="9">
        <v>3.7422</v>
      </c>
      <c r="J19" s="9">
        <v>4.6920000000000002</v>
      </c>
      <c r="K19" s="9">
        <v>0.48</v>
      </c>
      <c r="L19" s="9"/>
      <c r="M19" s="23">
        <v>12.6</v>
      </c>
      <c r="N19" s="22">
        <v>1.1599999999999999</v>
      </c>
      <c r="O19" s="32">
        <v>50</v>
      </c>
      <c r="P19" s="23">
        <v>3</v>
      </c>
      <c r="Q19" s="9">
        <v>59.4</v>
      </c>
      <c r="R19" s="21">
        <f t="shared" si="8"/>
        <v>360</v>
      </c>
      <c r="S19" s="9">
        <v>94</v>
      </c>
      <c r="T19" s="111">
        <f t="shared" si="9"/>
        <v>0.26111111111111113</v>
      </c>
      <c r="U19" s="21">
        <v>266</v>
      </c>
      <c r="V19" s="69">
        <f t="shared" si="10"/>
        <v>0.73888888888888893</v>
      </c>
      <c r="X19" s="24">
        <v>262.82</v>
      </c>
      <c r="Y19" s="18">
        <v>150.18</v>
      </c>
      <c r="Z19" s="78">
        <f t="shared" si="7"/>
        <v>0.57141770032722017</v>
      </c>
      <c r="AA19" s="6" t="s">
        <v>67</v>
      </c>
    </row>
    <row r="20" spans="1:27" ht="13" thickBot="1" x14ac:dyDescent="0.3">
      <c r="A20" s="29" t="s">
        <v>70</v>
      </c>
      <c r="B20" s="14" t="s">
        <v>45</v>
      </c>
      <c r="C20" s="14" t="s">
        <v>46</v>
      </c>
      <c r="D20" s="14" t="s">
        <v>66</v>
      </c>
      <c r="E20" s="14" t="s">
        <v>56</v>
      </c>
      <c r="F20" s="14">
        <v>10</v>
      </c>
      <c r="G20" s="9">
        <v>1400</v>
      </c>
      <c r="H20" s="9">
        <v>0.59</v>
      </c>
      <c r="I20" s="14">
        <v>3.7282999999999999</v>
      </c>
      <c r="J20" s="9">
        <v>2.2349999999999999</v>
      </c>
      <c r="K20" s="9">
        <v>0.59</v>
      </c>
      <c r="L20" s="9"/>
      <c r="M20" s="23">
        <v>14.2</v>
      </c>
      <c r="N20" s="22">
        <v>1.33</v>
      </c>
      <c r="O20" s="32">
        <v>50</v>
      </c>
      <c r="P20" s="23">
        <v>3</v>
      </c>
      <c r="Q20" s="14">
        <v>51.8</v>
      </c>
      <c r="R20" s="21">
        <f t="shared" si="8"/>
        <v>115</v>
      </c>
      <c r="S20" s="9">
        <v>81</v>
      </c>
      <c r="T20" s="111">
        <f t="shared" si="9"/>
        <v>0.70434782608695656</v>
      </c>
      <c r="U20" s="21">
        <v>34</v>
      </c>
      <c r="V20" s="69">
        <f t="shared" si="10"/>
        <v>0.29565217391304349</v>
      </c>
      <c r="X20" s="24">
        <v>60.75</v>
      </c>
      <c r="Y20" s="18">
        <v>28.97</v>
      </c>
      <c r="Z20" s="78">
        <f t="shared" si="7"/>
        <v>0.47687242798353907</v>
      </c>
      <c r="AA20" s="6" t="s">
        <v>67</v>
      </c>
    </row>
    <row r="21" spans="1:27" ht="12.5" x14ac:dyDescent="0.25">
      <c r="A21" s="27" t="s">
        <v>71</v>
      </c>
      <c r="B21" s="14" t="s">
        <v>45</v>
      </c>
      <c r="C21" s="35" t="s">
        <v>36</v>
      </c>
      <c r="D21" s="14" t="s">
        <v>72</v>
      </c>
      <c r="E21" s="14" t="s">
        <v>73</v>
      </c>
      <c r="F21" s="14">
        <v>0</v>
      </c>
      <c r="G21" s="9">
        <v>800</v>
      </c>
      <c r="H21" s="9">
        <v>2.2999999999999998</v>
      </c>
      <c r="I21" s="9">
        <v>4.01</v>
      </c>
      <c r="J21" s="9">
        <v>115.6</v>
      </c>
      <c r="K21" s="9"/>
      <c r="L21" s="9">
        <v>3</v>
      </c>
      <c r="M21" s="23"/>
      <c r="N21" s="22">
        <v>6.88</v>
      </c>
      <c r="O21" s="32">
        <v>25</v>
      </c>
      <c r="P21" s="23">
        <v>2</v>
      </c>
      <c r="Q21" s="9">
        <v>71.5</v>
      </c>
      <c r="R21" s="9">
        <v>215</v>
      </c>
      <c r="S21" s="9">
        <v>120</v>
      </c>
      <c r="T21" s="111">
        <f>S21/R21</f>
        <v>0.55813953488372092</v>
      </c>
      <c r="U21" s="12">
        <v>95</v>
      </c>
      <c r="V21" s="69">
        <f>U21/R21</f>
        <v>0.44186046511627908</v>
      </c>
      <c r="W21" s="15" t="s">
        <v>74</v>
      </c>
      <c r="X21" s="24"/>
      <c r="Y21" s="18"/>
      <c r="Z21" s="78"/>
      <c r="AA21" s="6" t="s">
        <v>75</v>
      </c>
    </row>
    <row r="22" spans="1:27" ht="12.5" x14ac:dyDescent="0.25">
      <c r="A22" s="28" t="s">
        <v>76</v>
      </c>
      <c r="B22" s="14" t="s">
        <v>45</v>
      </c>
      <c r="C22" s="35" t="s">
        <v>36</v>
      </c>
      <c r="D22" s="14" t="s">
        <v>72</v>
      </c>
      <c r="E22" s="14" t="s">
        <v>73</v>
      </c>
      <c r="F22" s="14">
        <v>0</v>
      </c>
      <c r="G22" s="9">
        <v>1000</v>
      </c>
      <c r="H22" s="9">
        <v>2.15</v>
      </c>
      <c r="I22" s="9">
        <v>3.86</v>
      </c>
      <c r="J22" s="9">
        <v>15.6</v>
      </c>
      <c r="K22" s="9"/>
      <c r="L22" s="9">
        <v>6</v>
      </c>
      <c r="M22" s="23"/>
      <c r="N22" s="22">
        <v>9.31</v>
      </c>
      <c r="O22" s="32">
        <v>25</v>
      </c>
      <c r="P22" s="23">
        <v>2</v>
      </c>
      <c r="Q22" s="9">
        <v>78.3</v>
      </c>
      <c r="R22" s="9">
        <v>242</v>
      </c>
      <c r="S22" s="9">
        <v>109</v>
      </c>
      <c r="T22" s="111">
        <f t="shared" ref="T22:T45" si="11">S22/R22</f>
        <v>0.45041322314049587</v>
      </c>
      <c r="U22" s="12">
        <v>133</v>
      </c>
      <c r="V22" s="69">
        <f t="shared" ref="V22:V35" si="12">U22/R22</f>
        <v>0.54958677685950408</v>
      </c>
      <c r="X22" s="24"/>
      <c r="Y22" s="18"/>
      <c r="Z22" s="79"/>
      <c r="AA22" s="6" t="s">
        <v>75</v>
      </c>
    </row>
    <row r="23" spans="1:27" ht="12.5" x14ac:dyDescent="0.25">
      <c r="A23" s="28" t="s">
        <v>77</v>
      </c>
      <c r="B23" s="14" t="s">
        <v>45</v>
      </c>
      <c r="C23" s="35" t="s">
        <v>36</v>
      </c>
      <c r="D23" s="14" t="s">
        <v>72</v>
      </c>
      <c r="E23" s="14" t="s">
        <v>73</v>
      </c>
      <c r="F23" s="14">
        <v>0</v>
      </c>
      <c r="G23" s="9">
        <v>1200</v>
      </c>
      <c r="H23" s="9">
        <v>2.02</v>
      </c>
      <c r="I23" s="9">
        <v>3.84</v>
      </c>
      <c r="J23" s="9">
        <v>35.1</v>
      </c>
      <c r="K23" s="9"/>
      <c r="L23" s="9">
        <v>4.7</v>
      </c>
      <c r="M23" s="23"/>
      <c r="N23" s="22">
        <v>10.02</v>
      </c>
      <c r="O23" s="32">
        <v>25</v>
      </c>
      <c r="P23" s="23">
        <v>2</v>
      </c>
      <c r="Q23" s="9">
        <v>84.5</v>
      </c>
      <c r="R23" s="9">
        <v>260</v>
      </c>
      <c r="S23" s="9">
        <v>89</v>
      </c>
      <c r="T23" s="111">
        <f t="shared" si="11"/>
        <v>0.34230769230769231</v>
      </c>
      <c r="U23" s="12">
        <v>171</v>
      </c>
      <c r="V23" s="69">
        <f t="shared" si="12"/>
        <v>0.65769230769230769</v>
      </c>
      <c r="X23" s="24"/>
      <c r="Y23" s="18"/>
      <c r="Z23" s="79"/>
      <c r="AA23" s="6" t="s">
        <v>75</v>
      </c>
    </row>
    <row r="24" spans="1:27" ht="12.5" x14ac:dyDescent="0.25">
      <c r="A24" s="28" t="s">
        <v>78</v>
      </c>
      <c r="B24" s="14" t="s">
        <v>45</v>
      </c>
      <c r="C24" s="35" t="s">
        <v>36</v>
      </c>
      <c r="D24" s="14" t="s">
        <v>72</v>
      </c>
      <c r="E24" s="14" t="s">
        <v>73</v>
      </c>
      <c r="F24" s="14">
        <v>0</v>
      </c>
      <c r="G24" s="9">
        <v>1300</v>
      </c>
      <c r="H24" s="9">
        <v>1.73</v>
      </c>
      <c r="I24" s="9">
        <v>3.76</v>
      </c>
      <c r="J24" s="9">
        <v>26.7</v>
      </c>
      <c r="K24" s="9"/>
      <c r="L24" s="9">
        <v>4.5999999999999996</v>
      </c>
      <c r="M24" s="23"/>
      <c r="N24" s="22">
        <v>10.29</v>
      </c>
      <c r="O24" s="32">
        <v>25</v>
      </c>
      <c r="P24" s="23">
        <v>2</v>
      </c>
      <c r="Q24" s="9">
        <v>87.6</v>
      </c>
      <c r="R24" s="9">
        <v>277</v>
      </c>
      <c r="S24" s="9">
        <v>81</v>
      </c>
      <c r="T24" s="111">
        <f t="shared" si="11"/>
        <v>0.29241877256317689</v>
      </c>
      <c r="U24" s="12">
        <v>196</v>
      </c>
      <c r="V24" s="69">
        <f t="shared" si="12"/>
        <v>0.70758122743682306</v>
      </c>
      <c r="X24" s="24"/>
      <c r="Y24" s="18"/>
      <c r="Z24" s="79"/>
      <c r="AA24" s="6" t="s">
        <v>75</v>
      </c>
    </row>
    <row r="25" spans="1:27" ht="12.5" x14ac:dyDescent="0.25">
      <c r="A25" s="28" t="s">
        <v>79</v>
      </c>
      <c r="B25" s="14" t="s">
        <v>45</v>
      </c>
      <c r="C25" s="35" t="s">
        <v>36</v>
      </c>
      <c r="D25" s="14" t="s">
        <v>72</v>
      </c>
      <c r="E25" s="14" t="s">
        <v>73</v>
      </c>
      <c r="F25" s="14">
        <v>0</v>
      </c>
      <c r="G25" s="9">
        <v>1400</v>
      </c>
      <c r="H25" s="9">
        <v>1.69</v>
      </c>
      <c r="I25" s="9">
        <v>3.71</v>
      </c>
      <c r="J25" s="9">
        <v>34.700000000000003</v>
      </c>
      <c r="K25" s="9"/>
      <c r="L25" s="9">
        <v>4.5999999999999996</v>
      </c>
      <c r="M25" s="23"/>
      <c r="N25" s="22">
        <v>10.89</v>
      </c>
      <c r="O25" s="32">
        <v>25</v>
      </c>
      <c r="P25" s="23">
        <v>2</v>
      </c>
      <c r="Q25" s="9">
        <v>88.4</v>
      </c>
      <c r="R25" s="9">
        <v>274</v>
      </c>
      <c r="S25" s="9">
        <v>69</v>
      </c>
      <c r="T25" s="111">
        <f t="shared" si="11"/>
        <v>0.2518248175182482</v>
      </c>
      <c r="U25" s="12">
        <v>205</v>
      </c>
      <c r="V25" s="69">
        <f t="shared" si="12"/>
        <v>0.74817518248175185</v>
      </c>
      <c r="X25" s="24"/>
      <c r="Y25" s="18"/>
      <c r="Z25" s="79"/>
      <c r="AA25" s="6" t="s">
        <v>75</v>
      </c>
    </row>
    <row r="26" spans="1:27" ht="12.5" x14ac:dyDescent="0.25">
      <c r="A26" s="28" t="s">
        <v>80</v>
      </c>
      <c r="B26" s="14" t="s">
        <v>45</v>
      </c>
      <c r="C26" s="35" t="s">
        <v>36</v>
      </c>
      <c r="D26" s="14" t="s">
        <v>72</v>
      </c>
      <c r="E26" s="14" t="s">
        <v>73</v>
      </c>
      <c r="F26" s="14">
        <v>0</v>
      </c>
      <c r="G26" s="9">
        <v>800</v>
      </c>
      <c r="H26" s="9">
        <v>2.42</v>
      </c>
      <c r="I26" s="9">
        <v>3.82</v>
      </c>
      <c r="J26" s="9">
        <v>225.9</v>
      </c>
      <c r="K26" s="9"/>
      <c r="L26" s="9">
        <v>2.2000000000000002</v>
      </c>
      <c r="M26" s="23"/>
      <c r="N26" s="22">
        <v>7.82</v>
      </c>
      <c r="O26" s="32">
        <v>25</v>
      </c>
      <c r="P26" s="23">
        <v>2</v>
      </c>
      <c r="Q26" s="9">
        <v>67.3</v>
      </c>
      <c r="R26" s="9">
        <v>207</v>
      </c>
      <c r="S26" s="9">
        <v>101</v>
      </c>
      <c r="T26" s="111">
        <f t="shared" si="11"/>
        <v>0.48792270531400966</v>
      </c>
      <c r="U26" s="12">
        <v>106</v>
      </c>
      <c r="V26" s="69">
        <f t="shared" si="12"/>
        <v>0.51207729468599039</v>
      </c>
      <c r="X26" s="24"/>
      <c r="Y26" s="18"/>
      <c r="Z26" s="79"/>
      <c r="AA26" s="6" t="s">
        <v>75</v>
      </c>
    </row>
    <row r="27" spans="1:27" ht="12.5" x14ac:dyDescent="0.25">
      <c r="A27" s="28" t="s">
        <v>81</v>
      </c>
      <c r="B27" s="14" t="s">
        <v>45</v>
      </c>
      <c r="C27" s="35" t="s">
        <v>36</v>
      </c>
      <c r="D27" s="14" t="s">
        <v>72</v>
      </c>
      <c r="E27" s="14" t="s">
        <v>73</v>
      </c>
      <c r="F27" s="14">
        <v>0</v>
      </c>
      <c r="G27" s="9">
        <v>1000</v>
      </c>
      <c r="H27" s="9">
        <v>1.89</v>
      </c>
      <c r="I27" s="9">
        <v>3.85</v>
      </c>
      <c r="J27" s="9">
        <v>103</v>
      </c>
      <c r="K27" s="9"/>
      <c r="L27" s="9">
        <v>2.2000000000000002</v>
      </c>
      <c r="M27" s="23"/>
      <c r="N27" s="22">
        <v>8.67</v>
      </c>
      <c r="O27" s="32">
        <v>25</v>
      </c>
      <c r="P27" s="23">
        <v>2</v>
      </c>
      <c r="Q27" s="9">
        <v>70.7</v>
      </c>
      <c r="R27" s="9">
        <v>223</v>
      </c>
      <c r="S27" s="9">
        <v>89</v>
      </c>
      <c r="T27" s="111">
        <f t="shared" si="11"/>
        <v>0.3991031390134529</v>
      </c>
      <c r="U27" s="12">
        <v>134</v>
      </c>
      <c r="V27" s="69">
        <f t="shared" si="12"/>
        <v>0.60089686098654704</v>
      </c>
      <c r="X27" s="24"/>
      <c r="Y27" s="18"/>
      <c r="Z27" s="79"/>
      <c r="AA27" s="6" t="s">
        <v>75</v>
      </c>
    </row>
    <row r="28" spans="1:27" ht="12.5" x14ac:dyDescent="0.25">
      <c r="A28" s="28" t="s">
        <v>82</v>
      </c>
      <c r="B28" s="14" t="s">
        <v>45</v>
      </c>
      <c r="C28" s="35" t="s">
        <v>36</v>
      </c>
      <c r="D28" s="14" t="s">
        <v>72</v>
      </c>
      <c r="E28" s="14" t="s">
        <v>73</v>
      </c>
      <c r="F28" s="14">
        <v>0</v>
      </c>
      <c r="G28" s="9">
        <v>1200</v>
      </c>
      <c r="H28" s="9">
        <v>1.79</v>
      </c>
      <c r="I28" s="9">
        <v>3.83</v>
      </c>
      <c r="J28" s="9">
        <v>66.5</v>
      </c>
      <c r="K28" s="9"/>
      <c r="L28" s="9">
        <v>2.5</v>
      </c>
      <c r="M28" s="23"/>
      <c r="N28" s="22">
        <v>9.69</v>
      </c>
      <c r="O28" s="32">
        <v>25</v>
      </c>
      <c r="P28" s="23">
        <v>2</v>
      </c>
      <c r="Q28" s="9">
        <v>80.7</v>
      </c>
      <c r="R28" s="9">
        <v>264</v>
      </c>
      <c r="S28" s="9">
        <v>76</v>
      </c>
      <c r="T28" s="111">
        <f t="shared" si="11"/>
        <v>0.2878787878787879</v>
      </c>
      <c r="U28" s="12">
        <v>188</v>
      </c>
      <c r="V28" s="69">
        <f t="shared" si="12"/>
        <v>0.71212121212121215</v>
      </c>
      <c r="X28" s="24"/>
      <c r="Y28" s="18"/>
      <c r="Z28" s="79"/>
      <c r="AA28" s="6" t="s">
        <v>75</v>
      </c>
    </row>
    <row r="29" spans="1:27" ht="12.5" x14ac:dyDescent="0.25">
      <c r="A29" s="28" t="s">
        <v>83</v>
      </c>
      <c r="B29" s="14" t="s">
        <v>45</v>
      </c>
      <c r="C29" s="35" t="s">
        <v>36</v>
      </c>
      <c r="D29" s="14" t="s">
        <v>72</v>
      </c>
      <c r="E29" s="14" t="s">
        <v>73</v>
      </c>
      <c r="F29" s="14">
        <v>0</v>
      </c>
      <c r="G29" s="9">
        <v>1300</v>
      </c>
      <c r="H29" s="9">
        <v>1.71</v>
      </c>
      <c r="I29" s="9">
        <v>3.79</v>
      </c>
      <c r="J29" s="9">
        <v>38.6</v>
      </c>
      <c r="K29" s="9"/>
      <c r="L29" s="9">
        <v>3.1</v>
      </c>
      <c r="M29" s="23"/>
      <c r="N29" s="22">
        <v>10.35</v>
      </c>
      <c r="O29" s="32">
        <v>25</v>
      </c>
      <c r="P29" s="23">
        <v>2</v>
      </c>
      <c r="Q29" s="9">
        <v>86.5</v>
      </c>
      <c r="R29" s="9">
        <v>295</v>
      </c>
      <c r="S29" s="9">
        <v>78</v>
      </c>
      <c r="T29" s="111">
        <f t="shared" si="11"/>
        <v>0.26440677966101694</v>
      </c>
      <c r="U29" s="12">
        <v>217</v>
      </c>
      <c r="V29" s="69">
        <f t="shared" si="12"/>
        <v>0.735593220338983</v>
      </c>
      <c r="X29" s="24"/>
      <c r="Y29" s="18"/>
      <c r="Z29" s="79"/>
      <c r="AA29" s="6" t="s">
        <v>75</v>
      </c>
    </row>
    <row r="30" spans="1:27" ht="13" thickBot="1" x14ac:dyDescent="0.3">
      <c r="A30" s="29" t="s">
        <v>84</v>
      </c>
      <c r="B30" s="14" t="s">
        <v>45</v>
      </c>
      <c r="C30" s="35" t="s">
        <v>36</v>
      </c>
      <c r="D30" s="14" t="s">
        <v>72</v>
      </c>
      <c r="E30" s="14" t="s">
        <v>73</v>
      </c>
      <c r="F30" s="14">
        <v>0</v>
      </c>
      <c r="G30" s="9">
        <v>1400</v>
      </c>
      <c r="H30" s="9">
        <v>1.58</v>
      </c>
      <c r="I30" s="9">
        <v>3.76</v>
      </c>
      <c r="J30" s="9">
        <v>33.299999999999997</v>
      </c>
      <c r="K30" s="9"/>
      <c r="L30" s="9">
        <v>3.6</v>
      </c>
      <c r="M30" s="23"/>
      <c r="N30" s="22">
        <v>10.72</v>
      </c>
      <c r="O30" s="32">
        <v>25</v>
      </c>
      <c r="P30" s="23">
        <v>2</v>
      </c>
      <c r="Q30" s="9">
        <v>88.3</v>
      </c>
      <c r="R30" s="9">
        <v>300</v>
      </c>
      <c r="S30" s="9">
        <v>74</v>
      </c>
      <c r="T30" s="111">
        <f t="shared" si="11"/>
        <v>0.24666666666666667</v>
      </c>
      <c r="U30" s="12">
        <v>226</v>
      </c>
      <c r="V30" s="69">
        <f t="shared" si="12"/>
        <v>0.7533333333333333</v>
      </c>
      <c r="X30" s="24"/>
      <c r="Y30" s="18"/>
      <c r="Z30" s="79"/>
      <c r="AA30" s="6" t="s">
        <v>75</v>
      </c>
    </row>
    <row r="31" spans="1:27" ht="12.5" x14ac:dyDescent="0.25">
      <c r="A31" s="27" t="s">
        <v>85</v>
      </c>
      <c r="B31" s="14" t="s">
        <v>86</v>
      </c>
      <c r="C31" s="35" t="s">
        <v>36</v>
      </c>
      <c r="D31" s="14" t="s">
        <v>87</v>
      </c>
      <c r="E31" s="35" t="s">
        <v>56</v>
      </c>
      <c r="F31" s="14">
        <v>10</v>
      </c>
      <c r="G31" s="9">
        <v>1300</v>
      </c>
      <c r="H31" s="9">
        <v>1.82</v>
      </c>
      <c r="I31" s="20">
        <v>3.7</v>
      </c>
      <c r="J31" s="9">
        <v>6</v>
      </c>
      <c r="K31" s="9"/>
      <c r="L31" s="9"/>
      <c r="M31" s="23">
        <v>3.4</v>
      </c>
      <c r="N31" s="32">
        <v>1</v>
      </c>
      <c r="O31" s="32">
        <v>25</v>
      </c>
      <c r="P31" s="23">
        <v>3</v>
      </c>
      <c r="Q31" s="9">
        <v>66</v>
      </c>
      <c r="R31" s="9">
        <v>315</v>
      </c>
      <c r="S31" s="9">
        <v>248</v>
      </c>
      <c r="T31" s="111">
        <f t="shared" si="11"/>
        <v>0.78730158730158728</v>
      </c>
      <c r="U31" s="12">
        <f>R31-S31</f>
        <v>67</v>
      </c>
      <c r="V31" s="69">
        <f t="shared" si="12"/>
        <v>0.21269841269841269</v>
      </c>
      <c r="W31" s="33" t="s">
        <v>74</v>
      </c>
      <c r="X31" s="24"/>
      <c r="Y31" s="18"/>
      <c r="Z31" s="79"/>
      <c r="AA31" s="31" t="s">
        <v>88</v>
      </c>
    </row>
    <row r="32" spans="1:27" ht="12.5" x14ac:dyDescent="0.25">
      <c r="A32" s="28" t="s">
        <v>89</v>
      </c>
      <c r="B32" s="14" t="s">
        <v>86</v>
      </c>
      <c r="C32" s="35" t="s">
        <v>36</v>
      </c>
      <c r="D32" s="14" t="s">
        <v>90</v>
      </c>
      <c r="E32" s="35" t="s">
        <v>56</v>
      </c>
      <c r="F32" s="14">
        <v>10</v>
      </c>
      <c r="G32" s="9">
        <v>1300</v>
      </c>
      <c r="H32" s="9">
        <v>1.86</v>
      </c>
      <c r="I32" s="9">
        <v>3.75</v>
      </c>
      <c r="J32" s="9">
        <v>7</v>
      </c>
      <c r="K32" s="9"/>
      <c r="L32" s="9"/>
      <c r="M32" s="23">
        <v>3.3</v>
      </c>
      <c r="N32" s="32">
        <v>1</v>
      </c>
      <c r="O32" s="32">
        <v>25</v>
      </c>
      <c r="P32" s="23">
        <v>3</v>
      </c>
      <c r="Q32" s="9">
        <v>63</v>
      </c>
      <c r="R32" s="9">
        <v>294</v>
      </c>
      <c r="S32" s="9">
        <v>270</v>
      </c>
      <c r="T32" s="111">
        <f t="shared" si="11"/>
        <v>0.91836734693877553</v>
      </c>
      <c r="U32" s="12">
        <f t="shared" ref="U32:U33" si="13">R32-S32</f>
        <v>24</v>
      </c>
      <c r="V32" s="69">
        <f t="shared" si="12"/>
        <v>8.1632653061224483E-2</v>
      </c>
      <c r="X32" s="24"/>
      <c r="Y32" s="18"/>
      <c r="Z32" s="79"/>
      <c r="AA32" s="31" t="s">
        <v>88</v>
      </c>
    </row>
    <row r="33" spans="1:27" ht="13" thickBot="1" x14ac:dyDescent="0.3">
      <c r="A33" s="29" t="s">
        <v>91</v>
      </c>
      <c r="B33" s="14" t="s">
        <v>86</v>
      </c>
      <c r="C33" s="35" t="s">
        <v>36</v>
      </c>
      <c r="D33" s="14" t="s">
        <v>92</v>
      </c>
      <c r="E33" s="35" t="s">
        <v>56</v>
      </c>
      <c r="F33" s="14">
        <v>10</v>
      </c>
      <c r="G33" s="9">
        <v>1300</v>
      </c>
      <c r="H33" s="9">
        <v>1.78</v>
      </c>
      <c r="I33" s="9">
        <v>3.68</v>
      </c>
      <c r="J33" s="9">
        <v>10</v>
      </c>
      <c r="K33" s="9"/>
      <c r="L33" s="9"/>
      <c r="M33" s="23">
        <v>3.3</v>
      </c>
      <c r="N33" s="32">
        <v>1</v>
      </c>
      <c r="O33" s="32">
        <v>25</v>
      </c>
      <c r="P33" s="23">
        <v>3</v>
      </c>
      <c r="Q33" s="9">
        <v>62</v>
      </c>
      <c r="R33" s="9">
        <v>314</v>
      </c>
      <c r="S33" s="9">
        <v>260</v>
      </c>
      <c r="T33" s="111">
        <f t="shared" si="11"/>
        <v>0.82802547770700641</v>
      </c>
      <c r="U33" s="12">
        <f t="shared" si="13"/>
        <v>54</v>
      </c>
      <c r="V33" s="69">
        <f t="shared" si="12"/>
        <v>0.17197452229299362</v>
      </c>
      <c r="X33" s="24"/>
      <c r="Y33" s="18"/>
      <c r="Z33" s="79"/>
      <c r="AA33" s="31" t="s">
        <v>88</v>
      </c>
    </row>
    <row r="34" spans="1:27" ht="12.5" x14ac:dyDescent="0.25">
      <c r="A34" s="27" t="s">
        <v>93</v>
      </c>
      <c r="B34" s="14" t="s">
        <v>94</v>
      </c>
      <c r="C34" s="14" t="s">
        <v>54</v>
      </c>
      <c r="D34" s="14" t="s">
        <v>95</v>
      </c>
      <c r="E34" s="35" t="s">
        <v>56</v>
      </c>
      <c r="F34" s="14">
        <v>10</v>
      </c>
      <c r="G34" s="9">
        <v>1000</v>
      </c>
      <c r="H34" s="9">
        <v>2.4500000000000002</v>
      </c>
      <c r="I34" s="9">
        <v>3.91</v>
      </c>
      <c r="J34" s="9">
        <v>751.6</v>
      </c>
      <c r="K34" s="9">
        <v>0.23300000000000001</v>
      </c>
      <c r="L34" s="9"/>
      <c r="M34" s="23"/>
      <c r="N34" s="32"/>
      <c r="O34" s="32">
        <v>50</v>
      </c>
      <c r="P34" s="23">
        <v>2.5</v>
      </c>
      <c r="Q34" s="9">
        <v>45.8</v>
      </c>
      <c r="R34" s="9">
        <v>256</v>
      </c>
      <c r="S34" s="8">
        <f>R34-U34</f>
        <v>175.3</v>
      </c>
      <c r="T34" s="110">
        <f t="shared" si="11"/>
        <v>0.68476562500000004</v>
      </c>
      <c r="U34" s="8">
        <v>80.7</v>
      </c>
      <c r="V34" s="68">
        <f>U34/R34</f>
        <v>0.31523437500000001</v>
      </c>
      <c r="W34" s="33" t="s">
        <v>39</v>
      </c>
      <c r="X34" s="7">
        <v>224</v>
      </c>
      <c r="Y34" s="5">
        <v>83.9</v>
      </c>
      <c r="Z34" s="77">
        <f>Y34/X34</f>
        <v>0.37455357142857143</v>
      </c>
      <c r="AA34" s="31" t="s">
        <v>96</v>
      </c>
    </row>
    <row r="35" spans="1:27" ht="12.5" x14ac:dyDescent="0.25">
      <c r="A35" s="28" t="s">
        <v>97</v>
      </c>
      <c r="B35" s="14" t="s">
        <v>94</v>
      </c>
      <c r="C35" s="14" t="s">
        <v>54</v>
      </c>
      <c r="D35" s="14" t="s">
        <v>95</v>
      </c>
      <c r="E35" s="35" t="s">
        <v>56</v>
      </c>
      <c r="F35" s="14">
        <v>10</v>
      </c>
      <c r="G35" s="9">
        <v>1200</v>
      </c>
      <c r="H35" s="9">
        <v>2.0299999999999998</v>
      </c>
      <c r="I35" s="9">
        <v>3.86</v>
      </c>
      <c r="J35" s="9">
        <v>140.69999999999999</v>
      </c>
      <c r="K35" s="9">
        <v>5.5E-2</v>
      </c>
      <c r="L35" s="9"/>
      <c r="M35" s="23"/>
      <c r="N35" s="32"/>
      <c r="O35" s="32">
        <v>50</v>
      </c>
      <c r="P35" s="23">
        <v>2.5</v>
      </c>
      <c r="Q35" s="9">
        <v>50.4</v>
      </c>
      <c r="R35" s="9">
        <v>328.8</v>
      </c>
      <c r="S35" s="8">
        <f>R35-U35</f>
        <v>155.80000000000001</v>
      </c>
      <c r="T35" s="110">
        <f t="shared" si="11"/>
        <v>0.47384428223844283</v>
      </c>
      <c r="U35" s="8">
        <v>173</v>
      </c>
      <c r="V35" s="68">
        <f t="shared" si="12"/>
        <v>0.52615571776155712</v>
      </c>
      <c r="X35" s="7">
        <v>278</v>
      </c>
      <c r="Y35" s="5">
        <v>75.7</v>
      </c>
      <c r="Z35" s="77">
        <f t="shared" ref="Z35:Z36" si="14">Y35/X35</f>
        <v>0.27230215827338128</v>
      </c>
      <c r="AA35" s="31" t="s">
        <v>96</v>
      </c>
    </row>
    <row r="36" spans="1:27" ht="13" thickBot="1" x14ac:dyDescent="0.3">
      <c r="A36" s="29" t="s">
        <v>98</v>
      </c>
      <c r="B36" s="14" t="s">
        <v>94</v>
      </c>
      <c r="C36" s="14" t="s">
        <v>54</v>
      </c>
      <c r="D36" s="14" t="s">
        <v>95</v>
      </c>
      <c r="E36" s="35" t="s">
        <v>56</v>
      </c>
      <c r="F36" s="14">
        <v>10</v>
      </c>
      <c r="G36" s="9">
        <v>1400</v>
      </c>
      <c r="H36" s="9">
        <v>1.79</v>
      </c>
      <c r="I36" s="9">
        <v>3.7</v>
      </c>
      <c r="J36" s="9">
        <v>108.8</v>
      </c>
      <c r="K36" s="9">
        <v>4.1000000000000002E-2</v>
      </c>
      <c r="L36" s="9"/>
      <c r="M36" s="23"/>
      <c r="N36" s="32"/>
      <c r="O36" s="32">
        <v>50</v>
      </c>
      <c r="P36" s="23">
        <v>2.5</v>
      </c>
      <c r="Q36" s="9">
        <v>32.200000000000003</v>
      </c>
      <c r="R36" s="10">
        <v>137</v>
      </c>
      <c r="S36" s="8">
        <f>R36-U36</f>
        <v>112.1</v>
      </c>
      <c r="T36" s="110">
        <f t="shared" si="11"/>
        <v>0.81824817518248172</v>
      </c>
      <c r="U36" s="23">
        <v>24.9</v>
      </c>
      <c r="V36" s="68">
        <f>U36/R36</f>
        <v>0.18175182481751823</v>
      </c>
      <c r="X36" s="7">
        <v>85.9</v>
      </c>
      <c r="Y36" s="5">
        <v>35.799999999999997</v>
      </c>
      <c r="Z36" s="77">
        <f t="shared" si="14"/>
        <v>0.41676367869615827</v>
      </c>
      <c r="AA36" s="31" t="s">
        <v>96</v>
      </c>
    </row>
    <row r="37" spans="1:27" ht="12.5" x14ac:dyDescent="0.25">
      <c r="A37" s="27" t="s">
        <v>99</v>
      </c>
      <c r="B37" s="14" t="s">
        <v>100</v>
      </c>
      <c r="C37" s="14" t="s">
        <v>54</v>
      </c>
      <c r="D37" s="14" t="s">
        <v>101</v>
      </c>
      <c r="E37" s="35" t="s">
        <v>56</v>
      </c>
      <c r="F37" s="14">
        <v>10</v>
      </c>
      <c r="G37" s="14">
        <v>1000</v>
      </c>
      <c r="H37" s="14">
        <v>0.81</v>
      </c>
      <c r="I37" s="14">
        <v>3.73</v>
      </c>
      <c r="J37" s="14">
        <v>35.46</v>
      </c>
      <c r="K37" s="14"/>
      <c r="L37" s="14"/>
      <c r="M37" s="14"/>
      <c r="N37" s="14"/>
      <c r="O37" s="32">
        <v>30</v>
      </c>
      <c r="P37" s="14">
        <v>2.5</v>
      </c>
      <c r="Q37" s="9">
        <v>53.84</v>
      </c>
      <c r="R37" s="12">
        <v>203.6</v>
      </c>
      <c r="S37" s="12">
        <v>100.1</v>
      </c>
      <c r="T37" s="109">
        <f t="shared" si="11"/>
        <v>0.49165029469548133</v>
      </c>
      <c r="U37" s="12">
        <f>R37-S37</f>
        <v>103.5</v>
      </c>
      <c r="V37" s="67">
        <f t="shared" ref="V37:V45" si="15">U37/R37</f>
        <v>0.50834970530451873</v>
      </c>
      <c r="W37" s="15" t="s">
        <v>74</v>
      </c>
      <c r="X37" s="24"/>
      <c r="Y37" s="18"/>
      <c r="Z37" s="78"/>
      <c r="AA37" s="6" t="s">
        <v>102</v>
      </c>
    </row>
    <row r="38" spans="1:27" ht="12.5" x14ac:dyDescent="0.25">
      <c r="A38" s="28" t="s">
        <v>89</v>
      </c>
      <c r="B38" s="14" t="s">
        <v>100</v>
      </c>
      <c r="C38" s="14" t="s">
        <v>54</v>
      </c>
      <c r="D38" s="14" t="s">
        <v>103</v>
      </c>
      <c r="E38" s="35" t="s">
        <v>56</v>
      </c>
      <c r="F38" s="14">
        <v>10</v>
      </c>
      <c r="G38" s="14">
        <v>1000</v>
      </c>
      <c r="H38" s="14">
        <v>0.9</v>
      </c>
      <c r="I38" s="14">
        <v>3.68</v>
      </c>
      <c r="J38" s="14">
        <v>57.79</v>
      </c>
      <c r="K38" s="14"/>
      <c r="L38" s="14"/>
      <c r="M38" s="14"/>
      <c r="N38" s="14"/>
      <c r="O38" s="32">
        <v>30</v>
      </c>
      <c r="P38" s="14">
        <v>2.5</v>
      </c>
      <c r="Q38" s="9">
        <v>50.46</v>
      </c>
      <c r="R38" s="12">
        <v>187.9</v>
      </c>
      <c r="S38" s="12">
        <v>91.6</v>
      </c>
      <c r="T38" s="109">
        <f t="shared" si="11"/>
        <v>0.48749334752527934</v>
      </c>
      <c r="U38" s="12">
        <f t="shared" ref="U38:U39" si="16">R38-S38</f>
        <v>96.300000000000011</v>
      </c>
      <c r="V38" s="67">
        <f t="shared" si="15"/>
        <v>0.5125066524747206</v>
      </c>
      <c r="W38" s="15"/>
      <c r="X38" s="24"/>
      <c r="Y38" s="18"/>
      <c r="Z38" s="78"/>
      <c r="AA38" s="6" t="s">
        <v>102</v>
      </c>
    </row>
    <row r="39" spans="1:27" ht="13" thickBot="1" x14ac:dyDescent="0.3">
      <c r="A39" s="29" t="s">
        <v>91</v>
      </c>
      <c r="B39" s="14" t="s">
        <v>100</v>
      </c>
      <c r="C39" s="14" t="s">
        <v>54</v>
      </c>
      <c r="D39" s="14" t="s">
        <v>104</v>
      </c>
      <c r="E39" s="35" t="s">
        <v>56</v>
      </c>
      <c r="F39" s="14">
        <v>10</v>
      </c>
      <c r="G39" s="14">
        <v>1000</v>
      </c>
      <c r="H39" s="14">
        <v>0.91</v>
      </c>
      <c r="I39" s="14">
        <v>3.55</v>
      </c>
      <c r="J39" s="14">
        <v>87.26</v>
      </c>
      <c r="K39" s="14"/>
      <c r="L39" s="14"/>
      <c r="M39" s="14"/>
      <c r="N39" s="14"/>
      <c r="O39" s="32">
        <v>30</v>
      </c>
      <c r="P39" s="14">
        <v>2.5</v>
      </c>
      <c r="Q39" s="9">
        <v>28.02</v>
      </c>
      <c r="R39" s="12">
        <v>112.1</v>
      </c>
      <c r="S39" s="12">
        <v>80</v>
      </c>
      <c r="T39" s="109">
        <f t="shared" si="11"/>
        <v>0.71364852809991086</v>
      </c>
      <c r="U39" s="12">
        <f t="shared" si="16"/>
        <v>32.099999999999994</v>
      </c>
      <c r="V39" s="67">
        <f t="shared" si="15"/>
        <v>0.28635147190008919</v>
      </c>
      <c r="W39" s="15"/>
      <c r="X39" s="24"/>
      <c r="Y39" s="18"/>
      <c r="Z39" s="78"/>
      <c r="AA39" s="6" t="s">
        <v>102</v>
      </c>
    </row>
    <row r="40" spans="1:27" ht="12.5" x14ac:dyDescent="0.25">
      <c r="A40" s="27" t="s">
        <v>105</v>
      </c>
      <c r="B40" s="14" t="s">
        <v>45</v>
      </c>
      <c r="C40" s="14" t="s">
        <v>54</v>
      </c>
      <c r="D40" s="14" t="s">
        <v>106</v>
      </c>
      <c r="E40" s="35" t="s">
        <v>56</v>
      </c>
      <c r="F40" s="14">
        <v>10</v>
      </c>
      <c r="G40" s="13">
        <v>700</v>
      </c>
      <c r="H40" s="13">
        <v>0.88</v>
      </c>
      <c r="I40" s="13"/>
      <c r="J40" s="13">
        <v>343.81</v>
      </c>
      <c r="K40" s="13"/>
      <c r="L40" s="13"/>
      <c r="M40" s="13"/>
      <c r="N40" s="13"/>
      <c r="O40" s="32">
        <v>100</v>
      </c>
      <c r="P40" s="23">
        <v>3</v>
      </c>
      <c r="Q40" s="10">
        <v>38</v>
      </c>
      <c r="R40" s="10">
        <v>134</v>
      </c>
      <c r="S40" s="10">
        <v>134</v>
      </c>
      <c r="T40" s="110">
        <f t="shared" si="11"/>
        <v>1</v>
      </c>
      <c r="U40" s="8">
        <v>0</v>
      </c>
      <c r="V40" s="68">
        <f t="shared" si="15"/>
        <v>0</v>
      </c>
      <c r="W40" s="15" t="s">
        <v>39</v>
      </c>
      <c r="X40" s="24">
        <v>192</v>
      </c>
      <c r="Y40" s="18"/>
      <c r="Z40" s="78"/>
      <c r="AA40" s="6" t="s">
        <v>107</v>
      </c>
    </row>
    <row r="41" spans="1:27" ht="13" thickBot="1" x14ac:dyDescent="0.3">
      <c r="A41" s="29" t="s">
        <v>108</v>
      </c>
      <c r="B41" s="14" t="s">
        <v>45</v>
      </c>
      <c r="C41" s="14" t="s">
        <v>54</v>
      </c>
      <c r="D41" s="14" t="s">
        <v>109</v>
      </c>
      <c r="E41" s="35" t="s">
        <v>56</v>
      </c>
      <c r="F41" s="14">
        <v>10</v>
      </c>
      <c r="G41" s="9">
        <v>700</v>
      </c>
      <c r="H41" s="9">
        <v>0.83</v>
      </c>
      <c r="J41" s="9">
        <v>718.81</v>
      </c>
      <c r="K41" s="9"/>
      <c r="L41" s="9"/>
      <c r="M41" s="9"/>
      <c r="O41" s="32">
        <v>100</v>
      </c>
      <c r="P41" s="23">
        <v>3</v>
      </c>
      <c r="Q41" s="10">
        <v>31</v>
      </c>
      <c r="R41" s="10">
        <v>154</v>
      </c>
      <c r="S41" s="8">
        <f>R41-U41</f>
        <v>147.5</v>
      </c>
      <c r="T41" s="110">
        <f t="shared" si="11"/>
        <v>0.95779220779220775</v>
      </c>
      <c r="U41" s="8">
        <v>6.5</v>
      </c>
      <c r="V41" s="68">
        <f t="shared" si="15"/>
        <v>4.2207792207792208E-2</v>
      </c>
      <c r="X41" s="24">
        <v>161</v>
      </c>
      <c r="Y41" s="18"/>
      <c r="Z41" s="79"/>
      <c r="AA41" s="6" t="s">
        <v>107</v>
      </c>
    </row>
    <row r="42" spans="1:27" ht="12.5" x14ac:dyDescent="0.25">
      <c r="A42" s="27" t="s">
        <v>110</v>
      </c>
      <c r="B42" s="14" t="s">
        <v>111</v>
      </c>
      <c r="C42" s="14" t="s">
        <v>36</v>
      </c>
      <c r="D42" s="14" t="s">
        <v>112</v>
      </c>
      <c r="E42" s="14" t="s">
        <v>113</v>
      </c>
      <c r="F42" s="14">
        <v>10</v>
      </c>
      <c r="G42" s="9">
        <v>1000</v>
      </c>
      <c r="H42" s="9">
        <v>3.53</v>
      </c>
      <c r="I42" s="14">
        <v>3.98</v>
      </c>
      <c r="J42" s="9">
        <v>466.4</v>
      </c>
      <c r="K42" s="9"/>
      <c r="L42" s="9"/>
      <c r="M42" s="9"/>
      <c r="N42" s="9">
        <v>1.42</v>
      </c>
      <c r="O42" s="32">
        <v>500</v>
      </c>
      <c r="P42" s="23">
        <v>2</v>
      </c>
      <c r="Q42" s="9"/>
      <c r="R42" s="12">
        <v>182.2</v>
      </c>
      <c r="S42" s="12">
        <v>137</v>
      </c>
      <c r="T42" s="109">
        <f t="shared" si="11"/>
        <v>0.75192096597145996</v>
      </c>
      <c r="U42" s="23">
        <f>R42-S42</f>
        <v>45.199999999999989</v>
      </c>
      <c r="V42" s="67">
        <f t="shared" si="15"/>
        <v>0.24807903402854001</v>
      </c>
      <c r="W42" s="15" t="s">
        <v>39</v>
      </c>
      <c r="X42" s="7">
        <v>220</v>
      </c>
      <c r="Y42" s="36">
        <v>184</v>
      </c>
      <c r="Z42" s="77">
        <f>Y42/X42</f>
        <v>0.83636363636363631</v>
      </c>
      <c r="AA42" s="6" t="s">
        <v>114</v>
      </c>
    </row>
    <row r="43" spans="1:27" ht="12.5" x14ac:dyDescent="0.25">
      <c r="A43" s="28" t="s">
        <v>115</v>
      </c>
      <c r="B43" s="14" t="s">
        <v>111</v>
      </c>
      <c r="C43" s="14" t="s">
        <v>36</v>
      </c>
      <c r="D43" s="14" t="s">
        <v>112</v>
      </c>
      <c r="E43" s="14" t="s">
        <v>113</v>
      </c>
      <c r="F43" s="14">
        <v>10</v>
      </c>
      <c r="G43" s="9">
        <v>1200</v>
      </c>
      <c r="H43" s="9">
        <v>3.12</v>
      </c>
      <c r="I43" s="9">
        <v>3.94</v>
      </c>
      <c r="J43" s="9">
        <v>142.80000000000001</v>
      </c>
      <c r="K43" s="9"/>
      <c r="L43" s="9"/>
      <c r="M43" s="9"/>
      <c r="N43" s="9">
        <v>1.63</v>
      </c>
      <c r="O43" s="32">
        <v>500</v>
      </c>
      <c r="P43" s="23">
        <v>2</v>
      </c>
      <c r="Q43" s="9"/>
      <c r="R43" s="12">
        <v>336.5</v>
      </c>
      <c r="S43" s="12">
        <v>171.5</v>
      </c>
      <c r="T43" s="109">
        <f t="shared" si="11"/>
        <v>0.50965824665676074</v>
      </c>
      <c r="U43" s="23">
        <f t="shared" ref="U43:U45" si="17">R43-S43</f>
        <v>165</v>
      </c>
      <c r="V43" s="67">
        <f t="shared" si="15"/>
        <v>0.49034175334323921</v>
      </c>
      <c r="X43" s="24">
        <v>346.8</v>
      </c>
      <c r="Y43" s="18">
        <v>299.39999999999998</v>
      </c>
      <c r="Z43" s="78">
        <f t="shared" ref="Z43:Z58" si="18">Y43/X43</f>
        <v>0.86332179930795838</v>
      </c>
      <c r="AA43" s="6" t="s">
        <v>114</v>
      </c>
    </row>
    <row r="44" spans="1:27" ht="12.5" x14ac:dyDescent="0.25">
      <c r="A44" s="28" t="s">
        <v>116</v>
      </c>
      <c r="B44" s="14" t="s">
        <v>111</v>
      </c>
      <c r="C44" s="14" t="s">
        <v>36</v>
      </c>
      <c r="D44" s="14" t="s">
        <v>112</v>
      </c>
      <c r="E44" s="14" t="s">
        <v>113</v>
      </c>
      <c r="F44" s="14">
        <v>10</v>
      </c>
      <c r="G44" s="9">
        <v>1400</v>
      </c>
      <c r="H44" s="9">
        <v>2.67</v>
      </c>
      <c r="I44" s="9">
        <v>3.9</v>
      </c>
      <c r="J44" s="9">
        <v>134.4</v>
      </c>
      <c r="K44" s="9"/>
      <c r="L44" s="9"/>
      <c r="M44" s="9"/>
      <c r="N44" s="9">
        <v>1.67</v>
      </c>
      <c r="O44" s="32">
        <v>500</v>
      </c>
      <c r="P44" s="23">
        <v>2</v>
      </c>
      <c r="Q44" s="9"/>
      <c r="R44" s="12">
        <v>297</v>
      </c>
      <c r="S44" s="12">
        <v>126.3</v>
      </c>
      <c r="T44" s="109">
        <f t="shared" si="11"/>
        <v>0.42525252525252522</v>
      </c>
      <c r="U44" s="23">
        <f t="shared" si="17"/>
        <v>170.7</v>
      </c>
      <c r="V44" s="67">
        <f t="shared" si="15"/>
        <v>0.57474747474747467</v>
      </c>
      <c r="W44" s="60"/>
      <c r="X44" s="7">
        <v>299</v>
      </c>
      <c r="Y44" s="36">
        <v>237</v>
      </c>
      <c r="Z44" s="77">
        <f t="shared" si="18"/>
        <v>0.79264214046822745</v>
      </c>
      <c r="AA44" s="6" t="s">
        <v>114</v>
      </c>
    </row>
    <row r="45" spans="1:27" ht="13" thickBot="1" x14ac:dyDescent="0.3">
      <c r="A45" s="29" t="s">
        <v>117</v>
      </c>
      <c r="B45" s="14" t="s">
        <v>111</v>
      </c>
      <c r="C45" s="14" t="s">
        <v>36</v>
      </c>
      <c r="D45" s="14" t="s">
        <v>112</v>
      </c>
      <c r="E45" s="14" t="s">
        <v>113</v>
      </c>
      <c r="F45" s="14">
        <v>10</v>
      </c>
      <c r="G45" s="13">
        <v>1600</v>
      </c>
      <c r="H45" s="13">
        <v>2.52</v>
      </c>
      <c r="I45" s="13">
        <v>3.78</v>
      </c>
      <c r="J45" s="13">
        <v>105</v>
      </c>
      <c r="K45" s="13"/>
      <c r="L45" s="13"/>
      <c r="M45" s="13"/>
      <c r="N45" s="13">
        <v>1.86</v>
      </c>
      <c r="O45" s="32">
        <v>500</v>
      </c>
      <c r="P45" s="23">
        <v>2</v>
      </c>
      <c r="Q45" s="14"/>
      <c r="R45" s="14">
        <v>301.39999999999998</v>
      </c>
      <c r="S45" s="14">
        <v>114.2</v>
      </c>
      <c r="T45" s="109">
        <f t="shared" si="11"/>
        <v>0.37889847378898478</v>
      </c>
      <c r="U45" s="23">
        <f t="shared" si="17"/>
        <v>187.2</v>
      </c>
      <c r="V45" s="67">
        <f t="shared" si="15"/>
        <v>0.62110152621101522</v>
      </c>
      <c r="W45" s="60"/>
      <c r="X45" s="7">
        <v>331</v>
      </c>
      <c r="Y45" s="36">
        <v>246</v>
      </c>
      <c r="Z45" s="77">
        <f t="shared" si="18"/>
        <v>0.74320241691842903</v>
      </c>
      <c r="AA45" s="6" t="s">
        <v>114</v>
      </c>
    </row>
    <row r="46" spans="1:27" ht="12.5" x14ac:dyDescent="0.25">
      <c r="A46" s="27" t="s">
        <v>118</v>
      </c>
      <c r="B46" s="14" t="s">
        <v>45</v>
      </c>
      <c r="C46" s="14" t="s">
        <v>54</v>
      </c>
      <c r="D46" s="14" t="s">
        <v>119</v>
      </c>
      <c r="E46" s="35" t="s">
        <v>56</v>
      </c>
      <c r="F46" s="14">
        <v>10</v>
      </c>
      <c r="G46" s="9">
        <v>800</v>
      </c>
      <c r="H46" s="9">
        <v>0.78</v>
      </c>
      <c r="I46" s="9">
        <v>3.97</v>
      </c>
      <c r="J46" s="9">
        <v>33</v>
      </c>
      <c r="K46" s="9">
        <v>5.8999999999999997E-2</v>
      </c>
      <c r="L46" s="9"/>
      <c r="M46" s="9">
        <v>2.12</v>
      </c>
      <c r="N46" s="9">
        <v>1.56</v>
      </c>
      <c r="O46" s="32">
        <v>50</v>
      </c>
      <c r="P46" s="23">
        <v>2.8</v>
      </c>
      <c r="Q46" s="14">
        <v>63</v>
      </c>
      <c r="R46" s="10">
        <v>345</v>
      </c>
      <c r="S46" s="17">
        <f t="shared" ref="S46:S49" si="19">R46-U46</f>
        <v>237</v>
      </c>
      <c r="T46" s="110">
        <f t="shared" ref="T46:T49" si="20">S46/R46</f>
        <v>0.68695652173913047</v>
      </c>
      <c r="U46" s="17">
        <v>108</v>
      </c>
      <c r="V46" s="68">
        <f t="shared" ref="V46:V54" si="21">U46/R46</f>
        <v>0.31304347826086959</v>
      </c>
      <c r="W46" s="60" t="s">
        <v>39</v>
      </c>
      <c r="X46" s="7">
        <v>292</v>
      </c>
      <c r="Y46" s="36">
        <v>161</v>
      </c>
      <c r="Z46" s="77">
        <f t="shared" si="18"/>
        <v>0.55136986301369861</v>
      </c>
      <c r="AA46" s="6" t="s">
        <v>120</v>
      </c>
    </row>
    <row r="47" spans="1:27" ht="12.5" x14ac:dyDescent="0.25">
      <c r="A47" s="28" t="s">
        <v>272</v>
      </c>
      <c r="B47" s="14" t="s">
        <v>45</v>
      </c>
      <c r="C47" s="14" t="s">
        <v>54</v>
      </c>
      <c r="D47" s="14" t="s">
        <v>119</v>
      </c>
      <c r="E47" s="35" t="s">
        <v>56</v>
      </c>
      <c r="F47" s="14">
        <v>10</v>
      </c>
      <c r="G47" s="9">
        <v>1100</v>
      </c>
      <c r="H47" s="9">
        <v>0.91</v>
      </c>
      <c r="I47" s="9">
        <v>3.91</v>
      </c>
      <c r="J47" s="9">
        <v>19.3</v>
      </c>
      <c r="K47" s="9">
        <v>5.1999999999999998E-2</v>
      </c>
      <c r="L47" s="9"/>
      <c r="M47" s="9">
        <v>4.1500000000000004</v>
      </c>
      <c r="N47" s="9">
        <v>1.59</v>
      </c>
      <c r="O47" s="32">
        <v>50</v>
      </c>
      <c r="P47" s="23">
        <v>2.8</v>
      </c>
      <c r="Q47" s="14">
        <v>70</v>
      </c>
      <c r="R47" s="10">
        <v>386</v>
      </c>
      <c r="S47" s="17">
        <f t="shared" si="19"/>
        <v>220</v>
      </c>
      <c r="T47" s="110">
        <f t="shared" si="20"/>
        <v>0.56994818652849744</v>
      </c>
      <c r="U47" s="17">
        <v>166</v>
      </c>
      <c r="V47" s="68">
        <f t="shared" si="21"/>
        <v>0.43005181347150256</v>
      </c>
      <c r="W47" s="60"/>
      <c r="X47" s="7">
        <v>308</v>
      </c>
      <c r="Y47" s="36">
        <v>141</v>
      </c>
      <c r="Z47" s="77">
        <f t="shared" si="18"/>
        <v>0.45779220779220781</v>
      </c>
      <c r="AA47" s="6" t="s">
        <v>120</v>
      </c>
    </row>
    <row r="48" spans="1:27" ht="12.5" x14ac:dyDescent="0.25">
      <c r="A48" s="28" t="s">
        <v>121</v>
      </c>
      <c r="B48" s="14" t="s">
        <v>45</v>
      </c>
      <c r="C48" s="14" t="s">
        <v>54</v>
      </c>
      <c r="D48" s="14" t="s">
        <v>119</v>
      </c>
      <c r="E48" s="35" t="s">
        <v>56</v>
      </c>
      <c r="F48" s="14">
        <v>10</v>
      </c>
      <c r="G48" s="14">
        <v>1400</v>
      </c>
      <c r="H48" s="9">
        <v>0.93</v>
      </c>
      <c r="I48" s="9">
        <v>3.84</v>
      </c>
      <c r="J48" s="9">
        <v>14.5</v>
      </c>
      <c r="K48" s="9">
        <v>4.7E-2</v>
      </c>
      <c r="L48" s="9"/>
      <c r="M48" s="9">
        <v>7.3</v>
      </c>
      <c r="N48" s="9">
        <v>2.04</v>
      </c>
      <c r="O48" s="32">
        <v>50</v>
      </c>
      <c r="P48" s="23">
        <v>2.8</v>
      </c>
      <c r="Q48" s="14">
        <v>73</v>
      </c>
      <c r="R48" s="10">
        <v>353</v>
      </c>
      <c r="S48" s="17">
        <f t="shared" si="19"/>
        <v>130</v>
      </c>
      <c r="T48" s="110">
        <f t="shared" si="20"/>
        <v>0.36827195467422097</v>
      </c>
      <c r="U48" s="17">
        <v>223</v>
      </c>
      <c r="V48" s="68">
        <f t="shared" si="21"/>
        <v>0.63172804532577909</v>
      </c>
      <c r="W48" s="60"/>
      <c r="X48" s="7">
        <v>301</v>
      </c>
      <c r="Y48" s="36">
        <v>83</v>
      </c>
      <c r="Z48" s="77">
        <f t="shared" si="18"/>
        <v>0.27574750830564781</v>
      </c>
      <c r="AA48" s="6" t="s">
        <v>120</v>
      </c>
    </row>
    <row r="49" spans="1:27" ht="12.5" x14ac:dyDescent="0.25">
      <c r="A49" s="28" t="s">
        <v>122</v>
      </c>
      <c r="B49" s="14" t="s">
        <v>45</v>
      </c>
      <c r="C49" s="14" t="s">
        <v>54</v>
      </c>
      <c r="D49" s="14" t="s">
        <v>119</v>
      </c>
      <c r="E49" s="35" t="s">
        <v>56</v>
      </c>
      <c r="F49" s="14">
        <v>10</v>
      </c>
      <c r="G49" s="14">
        <v>800</v>
      </c>
      <c r="H49" s="9">
        <v>0.79</v>
      </c>
      <c r="I49" s="9">
        <v>3.99</v>
      </c>
      <c r="J49" s="9">
        <v>217.3</v>
      </c>
      <c r="K49" s="9">
        <v>0.23</v>
      </c>
      <c r="L49" s="9"/>
      <c r="M49" s="9">
        <v>2.4300000000000002</v>
      </c>
      <c r="N49" s="9">
        <v>1.59</v>
      </c>
      <c r="O49" s="32">
        <v>50</v>
      </c>
      <c r="P49" s="23">
        <v>2.8</v>
      </c>
      <c r="Q49" s="9">
        <v>61</v>
      </c>
      <c r="R49" s="10">
        <v>338</v>
      </c>
      <c r="S49" s="17">
        <f t="shared" si="19"/>
        <v>262</v>
      </c>
      <c r="T49" s="110">
        <f t="shared" si="20"/>
        <v>0.7751479289940828</v>
      </c>
      <c r="U49" s="17">
        <v>76</v>
      </c>
      <c r="V49" s="68">
        <f t="shared" si="21"/>
        <v>0.22485207100591717</v>
      </c>
      <c r="X49" s="7">
        <v>273</v>
      </c>
      <c r="Y49" s="36">
        <v>181</v>
      </c>
      <c r="Z49" s="77">
        <f t="shared" si="18"/>
        <v>0.66300366300366298</v>
      </c>
      <c r="AA49" s="6" t="s">
        <v>120</v>
      </c>
    </row>
    <row r="50" spans="1:27" ht="12.5" x14ac:dyDescent="0.25">
      <c r="A50" s="28" t="s">
        <v>123</v>
      </c>
      <c r="B50" s="14" t="s">
        <v>45</v>
      </c>
      <c r="C50" s="14" t="s">
        <v>54</v>
      </c>
      <c r="D50" s="14" t="s">
        <v>119</v>
      </c>
      <c r="E50" s="35" t="s">
        <v>56</v>
      </c>
      <c r="F50" s="14">
        <v>10</v>
      </c>
      <c r="G50" s="14">
        <v>1100</v>
      </c>
      <c r="H50" s="9">
        <v>0.92</v>
      </c>
      <c r="I50" s="9">
        <v>3.92</v>
      </c>
      <c r="J50" s="9">
        <v>130.80000000000001</v>
      </c>
      <c r="K50" s="9">
        <v>0.19</v>
      </c>
      <c r="L50" s="9"/>
      <c r="M50" s="9">
        <v>4.3600000000000003</v>
      </c>
      <c r="N50" s="9">
        <v>1.62</v>
      </c>
      <c r="O50" s="32">
        <v>50</v>
      </c>
      <c r="P50" s="23">
        <v>2.8</v>
      </c>
      <c r="Q50" s="9">
        <v>68</v>
      </c>
      <c r="R50" s="10">
        <v>365</v>
      </c>
      <c r="S50" s="17">
        <f>R50-U50</f>
        <v>208</v>
      </c>
      <c r="T50" s="110">
        <f>S50/R50</f>
        <v>0.56986301369863013</v>
      </c>
      <c r="U50" s="17">
        <v>157</v>
      </c>
      <c r="V50" s="68">
        <f t="shared" si="21"/>
        <v>0.43013698630136987</v>
      </c>
      <c r="X50" s="7">
        <v>319</v>
      </c>
      <c r="Y50" s="36">
        <v>156</v>
      </c>
      <c r="Z50" s="77">
        <f t="shared" si="18"/>
        <v>0.4890282131661442</v>
      </c>
      <c r="AA50" s="6" t="s">
        <v>120</v>
      </c>
    </row>
    <row r="51" spans="1:27" ht="13" thickBot="1" x14ac:dyDescent="0.3">
      <c r="A51" s="29" t="s">
        <v>124</v>
      </c>
      <c r="B51" s="14" t="s">
        <v>45</v>
      </c>
      <c r="C51" s="14" t="s">
        <v>54</v>
      </c>
      <c r="D51" s="14" t="s">
        <v>119</v>
      </c>
      <c r="E51" s="35" t="s">
        <v>56</v>
      </c>
      <c r="F51" s="14">
        <v>10</v>
      </c>
      <c r="G51" s="14">
        <v>1400</v>
      </c>
      <c r="H51" s="9">
        <v>0.94</v>
      </c>
      <c r="I51" s="9">
        <v>3.86</v>
      </c>
      <c r="J51" s="9">
        <v>62.1</v>
      </c>
      <c r="K51" s="9">
        <v>0.14000000000000001</v>
      </c>
      <c r="L51" s="9"/>
      <c r="M51" s="9">
        <v>7.43</v>
      </c>
      <c r="N51" s="9">
        <v>2.12</v>
      </c>
      <c r="O51" s="32">
        <v>50</v>
      </c>
      <c r="P51" s="23">
        <v>2.8</v>
      </c>
      <c r="Q51" s="14">
        <v>71</v>
      </c>
      <c r="R51" s="10">
        <v>358</v>
      </c>
      <c r="S51" s="17">
        <f>R51-U51</f>
        <v>156</v>
      </c>
      <c r="T51" s="110">
        <f>S51/R51</f>
        <v>0.43575418994413406</v>
      </c>
      <c r="U51" s="8">
        <v>202</v>
      </c>
      <c r="V51" s="68">
        <f t="shared" si="21"/>
        <v>0.56424581005586594</v>
      </c>
      <c r="X51" s="7">
        <v>291</v>
      </c>
      <c r="Y51" s="36">
        <v>107</v>
      </c>
      <c r="Z51" s="77">
        <f t="shared" si="18"/>
        <v>0.36769759450171824</v>
      </c>
      <c r="AA51" s="6" t="s">
        <v>120</v>
      </c>
    </row>
    <row r="52" spans="1:27" ht="12.5" x14ac:dyDescent="0.25">
      <c r="A52" s="27" t="s">
        <v>125</v>
      </c>
      <c r="B52" s="14" t="s">
        <v>45</v>
      </c>
      <c r="C52" s="14" t="s">
        <v>54</v>
      </c>
      <c r="D52" s="14" t="s">
        <v>126</v>
      </c>
      <c r="E52" s="35" t="s">
        <v>56</v>
      </c>
      <c r="F52" s="14">
        <v>10</v>
      </c>
      <c r="G52" s="14">
        <v>1100</v>
      </c>
      <c r="H52" s="14">
        <v>0.65900000000000003</v>
      </c>
      <c r="I52" s="14">
        <v>4.03</v>
      </c>
      <c r="J52" s="14">
        <v>2.68</v>
      </c>
      <c r="K52" s="14">
        <v>3.3500000000000001E-3</v>
      </c>
      <c r="L52" s="14"/>
      <c r="M52" s="14"/>
      <c r="N52" s="14">
        <v>1.1599999999999999</v>
      </c>
      <c r="O52" s="32">
        <v>25</v>
      </c>
      <c r="P52" s="23">
        <v>2</v>
      </c>
      <c r="Q52" s="14">
        <v>64</v>
      </c>
      <c r="R52" s="14">
        <v>323</v>
      </c>
      <c r="S52" s="17">
        <f t="shared" ref="S52:S54" si="22">R52-U52</f>
        <v>190</v>
      </c>
      <c r="T52" s="110">
        <f t="shared" ref="T52:T54" si="23">S52/R52</f>
        <v>0.58823529411764708</v>
      </c>
      <c r="U52" s="8">
        <v>133</v>
      </c>
      <c r="V52" s="68">
        <f t="shared" si="21"/>
        <v>0.41176470588235292</v>
      </c>
      <c r="W52" s="15" t="s">
        <v>39</v>
      </c>
      <c r="X52" s="7">
        <v>320</v>
      </c>
      <c r="Y52" s="36">
        <v>154</v>
      </c>
      <c r="Z52" s="77">
        <f t="shared" si="18"/>
        <v>0.48125000000000001</v>
      </c>
      <c r="AA52" s="6" t="s">
        <v>127</v>
      </c>
    </row>
    <row r="53" spans="1:27" ht="12.5" x14ac:dyDescent="0.25">
      <c r="A53" s="28" t="s">
        <v>128</v>
      </c>
      <c r="B53" s="14" t="s">
        <v>45</v>
      </c>
      <c r="C53" s="14" t="s">
        <v>54</v>
      </c>
      <c r="D53" s="14" t="s">
        <v>126</v>
      </c>
      <c r="E53" s="35" t="s">
        <v>56</v>
      </c>
      <c r="F53" s="14">
        <v>10</v>
      </c>
      <c r="G53" s="14">
        <v>1300</v>
      </c>
      <c r="H53" s="14">
        <v>0.71599999999999997</v>
      </c>
      <c r="I53" s="14">
        <v>3.95</v>
      </c>
      <c r="J53" s="14">
        <v>0.27</v>
      </c>
      <c r="K53" s="14"/>
      <c r="L53" s="14"/>
      <c r="M53" s="14"/>
      <c r="N53" s="14">
        <v>1.23</v>
      </c>
      <c r="O53" s="32">
        <v>25</v>
      </c>
      <c r="P53" s="23">
        <v>2</v>
      </c>
      <c r="Q53" s="14">
        <v>66</v>
      </c>
      <c r="R53" s="14">
        <v>372</v>
      </c>
      <c r="S53" s="17">
        <f t="shared" si="22"/>
        <v>179</v>
      </c>
      <c r="T53" s="110">
        <f t="shared" si="23"/>
        <v>0.48118279569892475</v>
      </c>
      <c r="U53" s="8">
        <v>193</v>
      </c>
      <c r="V53" s="68">
        <f t="shared" si="21"/>
        <v>0.51881720430107525</v>
      </c>
      <c r="X53" s="7">
        <v>354</v>
      </c>
      <c r="Y53" s="36">
        <v>172</v>
      </c>
      <c r="Z53" s="77">
        <f t="shared" si="18"/>
        <v>0.48587570621468928</v>
      </c>
      <c r="AA53" s="6" t="s">
        <v>127</v>
      </c>
    </row>
    <row r="54" spans="1:27" ht="13" thickBot="1" x14ac:dyDescent="0.3">
      <c r="A54" s="29" t="s">
        <v>129</v>
      </c>
      <c r="B54" s="14" t="s">
        <v>45</v>
      </c>
      <c r="C54" s="14" t="s">
        <v>54</v>
      </c>
      <c r="D54" s="14" t="s">
        <v>126</v>
      </c>
      <c r="E54" s="35" t="s">
        <v>56</v>
      </c>
      <c r="F54" s="14">
        <v>10</v>
      </c>
      <c r="G54" s="14">
        <v>1500</v>
      </c>
      <c r="H54" s="14">
        <v>0.749</v>
      </c>
      <c r="I54" s="14">
        <v>3.84</v>
      </c>
      <c r="J54" s="14">
        <v>0.23</v>
      </c>
      <c r="K54" s="14"/>
      <c r="L54" s="14"/>
      <c r="M54" s="14"/>
      <c r="N54" s="14">
        <v>1.31</v>
      </c>
      <c r="O54" s="32">
        <v>25</v>
      </c>
      <c r="P54" s="23">
        <v>2</v>
      </c>
      <c r="Q54" s="14">
        <v>68</v>
      </c>
      <c r="R54" s="14">
        <v>327</v>
      </c>
      <c r="S54" s="17">
        <f t="shared" si="22"/>
        <v>120</v>
      </c>
      <c r="T54" s="110">
        <f t="shared" si="23"/>
        <v>0.3669724770642202</v>
      </c>
      <c r="U54" s="8">
        <v>207</v>
      </c>
      <c r="V54" s="68">
        <f t="shared" si="21"/>
        <v>0.6330275229357798</v>
      </c>
      <c r="X54" s="7">
        <v>284</v>
      </c>
      <c r="Y54" s="36">
        <v>139</v>
      </c>
      <c r="Z54" s="77">
        <f t="shared" si="18"/>
        <v>0.48943661971830987</v>
      </c>
      <c r="AA54" s="6" t="s">
        <v>127</v>
      </c>
    </row>
    <row r="55" spans="1:27" ht="12.5" x14ac:dyDescent="0.25">
      <c r="A55" s="27" t="s">
        <v>130</v>
      </c>
      <c r="B55" s="14" t="s">
        <v>45</v>
      </c>
      <c r="C55" s="14" t="s">
        <v>54</v>
      </c>
      <c r="D55" s="14" t="s">
        <v>131</v>
      </c>
      <c r="E55" s="35" t="s">
        <v>132</v>
      </c>
      <c r="F55" s="14">
        <v>10</v>
      </c>
      <c r="G55" s="14">
        <v>900</v>
      </c>
      <c r="H55" s="14">
        <v>0.54</v>
      </c>
      <c r="I55" s="14">
        <v>4.03</v>
      </c>
      <c r="J55" s="14">
        <v>325.27</v>
      </c>
      <c r="K55" s="14">
        <v>0.18</v>
      </c>
      <c r="L55" s="14"/>
      <c r="M55" s="14">
        <v>3.61</v>
      </c>
      <c r="N55" s="22">
        <v>1.1000000000000001</v>
      </c>
      <c r="O55" s="32">
        <v>25</v>
      </c>
      <c r="P55" s="23">
        <v>3</v>
      </c>
      <c r="Q55" s="14">
        <v>49.21</v>
      </c>
      <c r="R55" s="14">
        <v>177.7</v>
      </c>
      <c r="S55" s="23">
        <f>R55*T55</f>
        <v>137.3621</v>
      </c>
      <c r="T55" s="109">
        <f>1-V55</f>
        <v>0.77300000000000002</v>
      </c>
      <c r="U55" s="23">
        <f>R55*V55</f>
        <v>40.337899999999998</v>
      </c>
      <c r="V55" s="67">
        <v>0.22700000000000001</v>
      </c>
      <c r="W55" s="15" t="s">
        <v>39</v>
      </c>
      <c r="X55" s="7">
        <v>113</v>
      </c>
      <c r="Y55" s="7">
        <v>46</v>
      </c>
      <c r="Z55" s="77">
        <f t="shared" si="18"/>
        <v>0.40707964601769914</v>
      </c>
      <c r="AA55" s="6" t="s">
        <v>133</v>
      </c>
    </row>
    <row r="56" spans="1:27" ht="12.5" x14ac:dyDescent="0.25">
      <c r="A56" s="28" t="s">
        <v>134</v>
      </c>
      <c r="B56" s="14" t="s">
        <v>45</v>
      </c>
      <c r="C56" s="14" t="s">
        <v>54</v>
      </c>
      <c r="D56" s="14" t="s">
        <v>131</v>
      </c>
      <c r="E56" s="35" t="s">
        <v>132</v>
      </c>
      <c r="F56" s="14">
        <v>10</v>
      </c>
      <c r="G56" s="14">
        <v>1100</v>
      </c>
      <c r="H56" s="14">
        <v>0.61</v>
      </c>
      <c r="I56" s="14">
        <v>3.98</v>
      </c>
      <c r="J56" s="14">
        <v>82.01</v>
      </c>
      <c r="K56" s="14">
        <v>0.05</v>
      </c>
      <c r="L56" s="14"/>
      <c r="M56" s="14">
        <v>3.83</v>
      </c>
      <c r="N56" s="14">
        <v>1.46</v>
      </c>
      <c r="O56" s="32">
        <v>25</v>
      </c>
      <c r="P56" s="23">
        <v>3</v>
      </c>
      <c r="Q56" s="14">
        <v>73.13</v>
      </c>
      <c r="R56" s="14">
        <v>338.8</v>
      </c>
      <c r="S56" s="23">
        <f t="shared" ref="S56:S58" si="24">R56*T56</f>
        <v>224.62440000000001</v>
      </c>
      <c r="T56" s="109">
        <f t="shared" ref="T56:T58" si="25">1-V56</f>
        <v>0.66300000000000003</v>
      </c>
      <c r="U56" s="23">
        <f t="shared" ref="U56:U58" si="26">R56*V56</f>
        <v>114.17560000000002</v>
      </c>
      <c r="V56" s="67">
        <v>0.33700000000000002</v>
      </c>
      <c r="X56" s="7">
        <v>257</v>
      </c>
      <c r="Y56" s="7">
        <v>92</v>
      </c>
      <c r="Z56" s="77">
        <f t="shared" si="18"/>
        <v>0.35797665369649806</v>
      </c>
      <c r="AA56" s="6" t="s">
        <v>133</v>
      </c>
    </row>
    <row r="57" spans="1:27" ht="12.5" x14ac:dyDescent="0.25">
      <c r="A57" s="28" t="s">
        <v>135</v>
      </c>
      <c r="B57" s="14" t="s">
        <v>45</v>
      </c>
      <c r="C57" s="14" t="s">
        <v>54</v>
      </c>
      <c r="D57" s="14" t="s">
        <v>131</v>
      </c>
      <c r="E57" s="35" t="s">
        <v>132</v>
      </c>
      <c r="F57" s="14">
        <v>10</v>
      </c>
      <c r="G57" s="14">
        <v>1300</v>
      </c>
      <c r="H57" s="14">
        <v>0.66</v>
      </c>
      <c r="I57" s="14">
        <v>3.91</v>
      </c>
      <c r="J57" s="14">
        <v>36.200000000000003</v>
      </c>
      <c r="K57" s="14">
        <v>0.04</v>
      </c>
      <c r="L57" s="14"/>
      <c r="M57" s="14">
        <v>4.5199999999999996</v>
      </c>
      <c r="N57" s="22">
        <v>1.6</v>
      </c>
      <c r="O57" s="32">
        <v>25</v>
      </c>
      <c r="P57" s="23">
        <v>3</v>
      </c>
      <c r="Q57" s="14">
        <v>77.03</v>
      </c>
      <c r="R57" s="23">
        <v>372</v>
      </c>
      <c r="S57" s="23">
        <f t="shared" si="24"/>
        <v>160.70400000000001</v>
      </c>
      <c r="T57" s="109">
        <f t="shared" si="25"/>
        <v>0.43200000000000005</v>
      </c>
      <c r="U57" s="23">
        <f t="shared" si="26"/>
        <v>211.29599999999999</v>
      </c>
      <c r="V57" s="67">
        <v>0.56799999999999995</v>
      </c>
      <c r="X57" s="7">
        <v>237</v>
      </c>
      <c r="Y57" s="7">
        <v>84</v>
      </c>
      <c r="Z57" s="77">
        <f t="shared" si="18"/>
        <v>0.35443037974683544</v>
      </c>
      <c r="AA57" s="6" t="s">
        <v>133</v>
      </c>
    </row>
    <row r="58" spans="1:27" ht="13" thickBot="1" x14ac:dyDescent="0.3">
      <c r="A58" s="29" t="s">
        <v>136</v>
      </c>
      <c r="B58" s="14" t="s">
        <v>45</v>
      </c>
      <c r="C58" s="14" t="s">
        <v>54</v>
      </c>
      <c r="D58" s="14" t="s">
        <v>131</v>
      </c>
      <c r="E58" s="35" t="s">
        <v>132</v>
      </c>
      <c r="F58" s="14">
        <v>10</v>
      </c>
      <c r="G58" s="14">
        <v>1500</v>
      </c>
      <c r="H58" s="14">
        <v>0.72</v>
      </c>
      <c r="I58" s="14">
        <v>3.75</v>
      </c>
      <c r="J58" s="14">
        <v>23.87</v>
      </c>
      <c r="K58" s="14">
        <v>0.02</v>
      </c>
      <c r="L58" s="14"/>
      <c r="M58" s="14">
        <v>6.18</v>
      </c>
      <c r="N58" s="14">
        <v>1.88</v>
      </c>
      <c r="O58" s="32">
        <v>25</v>
      </c>
      <c r="P58" s="23">
        <v>3</v>
      </c>
      <c r="Q58" s="14">
        <v>79.39</v>
      </c>
      <c r="R58" s="14">
        <v>343.1</v>
      </c>
      <c r="S58" s="23">
        <f t="shared" si="24"/>
        <v>142.04340000000002</v>
      </c>
      <c r="T58" s="109">
        <f t="shared" si="25"/>
        <v>0.41400000000000003</v>
      </c>
      <c r="U58" s="23">
        <f t="shared" si="26"/>
        <v>201.0566</v>
      </c>
      <c r="V58" s="67">
        <v>0.58599999999999997</v>
      </c>
      <c r="X58" s="7">
        <v>204</v>
      </c>
      <c r="Y58" s="7">
        <v>40</v>
      </c>
      <c r="Z58" s="77">
        <f t="shared" si="18"/>
        <v>0.19607843137254902</v>
      </c>
      <c r="AA58" s="6" t="s">
        <v>133</v>
      </c>
    </row>
    <row r="59" spans="1:27" ht="12.5" x14ac:dyDescent="0.25">
      <c r="A59" s="27" t="s">
        <v>137</v>
      </c>
      <c r="B59" s="14" t="s">
        <v>100</v>
      </c>
      <c r="C59" s="14" t="s">
        <v>54</v>
      </c>
      <c r="D59" s="14" t="s">
        <v>101</v>
      </c>
      <c r="E59" s="35" t="s">
        <v>56</v>
      </c>
      <c r="F59" s="14">
        <v>10</v>
      </c>
      <c r="G59" s="14">
        <v>800</v>
      </c>
      <c r="H59" s="58">
        <f>1/0.413</f>
        <v>2.4213075060532687</v>
      </c>
      <c r="I59" s="14">
        <v>3.7389999999999999</v>
      </c>
      <c r="J59" s="14">
        <v>306</v>
      </c>
      <c r="K59" s="14">
        <v>0.184</v>
      </c>
      <c r="L59" s="14"/>
      <c r="M59" s="14"/>
      <c r="N59" s="14"/>
      <c r="O59" s="32">
        <v>30</v>
      </c>
      <c r="P59" s="23">
        <v>2</v>
      </c>
      <c r="Q59" s="14">
        <v>62</v>
      </c>
      <c r="R59" s="14">
        <v>210</v>
      </c>
      <c r="S59" s="10">
        <v>128</v>
      </c>
      <c r="T59" s="110">
        <f>S59/R59</f>
        <v>0.60952380952380958</v>
      </c>
      <c r="U59" s="17">
        <f>R59-S59</f>
        <v>82</v>
      </c>
      <c r="V59" s="68">
        <f>U59/R59</f>
        <v>0.39047619047619048</v>
      </c>
      <c r="W59" s="15" t="s">
        <v>74</v>
      </c>
      <c r="X59" s="24"/>
      <c r="Y59" s="18"/>
      <c r="Z59" s="78"/>
      <c r="AA59" s="6" t="s">
        <v>138</v>
      </c>
    </row>
    <row r="60" spans="1:27" ht="12.5" x14ac:dyDescent="0.25">
      <c r="A60" s="28" t="s">
        <v>139</v>
      </c>
      <c r="B60" s="14" t="s">
        <v>100</v>
      </c>
      <c r="C60" s="14" t="s">
        <v>54</v>
      </c>
      <c r="D60" s="14" t="s">
        <v>101</v>
      </c>
      <c r="E60" s="35" t="s">
        <v>56</v>
      </c>
      <c r="F60" s="14">
        <v>10</v>
      </c>
      <c r="G60" s="14">
        <v>800</v>
      </c>
      <c r="H60" s="58">
        <f>1/0.402</f>
        <v>2.4875621890547261</v>
      </c>
      <c r="I60" s="14">
        <v>3.7730000000000001</v>
      </c>
      <c r="J60" s="14">
        <v>338</v>
      </c>
      <c r="K60" s="14">
        <v>0.215</v>
      </c>
      <c r="L60" s="14"/>
      <c r="M60" s="14"/>
      <c r="N60" s="14"/>
      <c r="O60" s="32">
        <v>30</v>
      </c>
      <c r="P60" s="23">
        <v>2</v>
      </c>
      <c r="Q60" s="14">
        <v>60</v>
      </c>
      <c r="R60" s="14">
        <v>247</v>
      </c>
      <c r="S60" s="10">
        <v>146</v>
      </c>
      <c r="T60" s="110">
        <f t="shared" ref="T60:T85" si="27">S60/R60</f>
        <v>0.59109311740890691</v>
      </c>
      <c r="U60" s="17">
        <f t="shared" ref="U60:U62" si="28">R60-S60</f>
        <v>101</v>
      </c>
      <c r="V60" s="68">
        <f t="shared" ref="V60:V70" si="29">U60/R60</f>
        <v>0.40890688259109309</v>
      </c>
      <c r="X60" s="24"/>
      <c r="Y60" s="18"/>
      <c r="Z60" s="79"/>
      <c r="AA60" s="6" t="s">
        <v>138</v>
      </c>
    </row>
    <row r="61" spans="1:27" ht="12.5" x14ac:dyDescent="0.25">
      <c r="A61" s="28" t="s">
        <v>140</v>
      </c>
      <c r="B61" s="14" t="s">
        <v>100</v>
      </c>
      <c r="C61" s="14" t="s">
        <v>54</v>
      </c>
      <c r="D61" s="14" t="s">
        <v>101</v>
      </c>
      <c r="E61" s="35" t="s">
        <v>56</v>
      </c>
      <c r="F61" s="14">
        <v>10</v>
      </c>
      <c r="G61" s="14">
        <v>800</v>
      </c>
      <c r="H61" s="58">
        <f>1/0.399</f>
        <v>2.5062656641604009</v>
      </c>
      <c r="I61" s="14">
        <v>3.778</v>
      </c>
      <c r="J61" s="14">
        <v>395</v>
      </c>
      <c r="K61" s="14">
        <v>0.38600000000000001</v>
      </c>
      <c r="L61" s="14"/>
      <c r="M61" s="14"/>
      <c r="N61" s="14"/>
      <c r="O61" s="32">
        <v>30</v>
      </c>
      <c r="P61" s="23">
        <v>2</v>
      </c>
      <c r="Q61" s="14">
        <v>58</v>
      </c>
      <c r="R61" s="14">
        <v>261</v>
      </c>
      <c r="S61" s="10">
        <v>156</v>
      </c>
      <c r="T61" s="110">
        <f t="shared" si="27"/>
        <v>0.5977011494252874</v>
      </c>
      <c r="U61" s="17">
        <f t="shared" si="28"/>
        <v>105</v>
      </c>
      <c r="V61" s="68">
        <f t="shared" si="29"/>
        <v>0.40229885057471265</v>
      </c>
      <c r="X61" s="24"/>
      <c r="Y61" s="18"/>
      <c r="Z61" s="79"/>
      <c r="AA61" s="6" t="s">
        <v>138</v>
      </c>
    </row>
    <row r="62" spans="1:27" ht="13" thickBot="1" x14ac:dyDescent="0.3">
      <c r="A62" s="29" t="s">
        <v>141</v>
      </c>
      <c r="B62" s="14" t="s">
        <v>100</v>
      </c>
      <c r="C62" s="14" t="s">
        <v>54</v>
      </c>
      <c r="D62" s="14" t="s">
        <v>101</v>
      </c>
      <c r="E62" s="14" t="s">
        <v>56</v>
      </c>
      <c r="F62" s="14">
        <v>10</v>
      </c>
      <c r="G62" s="14">
        <v>800</v>
      </c>
      <c r="H62" s="58">
        <f>1/0.398</f>
        <v>2.5125628140703515</v>
      </c>
      <c r="I62" s="58">
        <v>3.81</v>
      </c>
      <c r="J62" s="14">
        <v>334</v>
      </c>
      <c r="K62" s="14">
        <v>0.26400000000000001</v>
      </c>
      <c r="L62" s="14"/>
      <c r="M62" s="14"/>
      <c r="N62" s="14"/>
      <c r="O62" s="32">
        <v>30</v>
      </c>
      <c r="P62" s="23">
        <v>2</v>
      </c>
      <c r="Q62" s="14">
        <v>43</v>
      </c>
      <c r="R62" s="14">
        <v>152</v>
      </c>
      <c r="S62" s="10">
        <v>106</v>
      </c>
      <c r="T62" s="110">
        <f t="shared" si="27"/>
        <v>0.69736842105263153</v>
      </c>
      <c r="U62" s="17">
        <f t="shared" si="28"/>
        <v>46</v>
      </c>
      <c r="V62" s="68">
        <f t="shared" si="29"/>
        <v>0.30263157894736842</v>
      </c>
      <c r="X62" s="24"/>
      <c r="Y62" s="18"/>
      <c r="Z62" s="79"/>
      <c r="AA62" s="6" t="s">
        <v>138</v>
      </c>
    </row>
    <row r="63" spans="1:27" ht="13" thickBot="1" x14ac:dyDescent="0.3">
      <c r="A63" s="38" t="s">
        <v>142</v>
      </c>
      <c r="B63" s="35" t="s">
        <v>143</v>
      </c>
      <c r="C63" s="14" t="s">
        <v>54</v>
      </c>
      <c r="D63" s="14" t="s">
        <v>144</v>
      </c>
      <c r="E63" s="35" t="s">
        <v>38</v>
      </c>
      <c r="F63" s="14">
        <v>10</v>
      </c>
      <c r="G63" s="14">
        <v>1000</v>
      </c>
      <c r="H63" s="14">
        <v>1.02</v>
      </c>
      <c r="I63" s="14">
        <v>4.4000000000000004</v>
      </c>
      <c r="J63" s="14">
        <v>1.86</v>
      </c>
      <c r="K63" s="14"/>
      <c r="L63" s="14">
        <v>4.49</v>
      </c>
      <c r="M63" s="14"/>
      <c r="N63" s="14"/>
      <c r="O63" s="32">
        <v>20</v>
      </c>
      <c r="P63" s="23">
        <v>3</v>
      </c>
      <c r="Q63" s="14">
        <v>67.3</v>
      </c>
      <c r="R63" s="14">
        <v>310.2</v>
      </c>
      <c r="S63" s="17">
        <f>R63-U63</f>
        <v>205.2</v>
      </c>
      <c r="T63" s="110">
        <f t="shared" si="27"/>
        <v>0.66150870406189555</v>
      </c>
      <c r="U63" s="17">
        <v>105</v>
      </c>
      <c r="V63" s="68">
        <f t="shared" si="29"/>
        <v>0.33849129593810445</v>
      </c>
      <c r="W63" s="15" t="s">
        <v>39</v>
      </c>
      <c r="X63" s="24">
        <v>236.5</v>
      </c>
      <c r="Y63" s="18">
        <v>91.9</v>
      </c>
      <c r="Z63" s="78">
        <f>Y63/X63</f>
        <v>0.3885835095137421</v>
      </c>
      <c r="AA63" s="6" t="s">
        <v>145</v>
      </c>
    </row>
    <row r="64" spans="1:27" ht="12.5" x14ac:dyDescent="0.25">
      <c r="A64" s="27" t="s">
        <v>146</v>
      </c>
      <c r="B64" s="14" t="s">
        <v>45</v>
      </c>
      <c r="C64" s="14" t="s">
        <v>54</v>
      </c>
      <c r="D64" s="14" t="s">
        <v>147</v>
      </c>
      <c r="E64" s="35" t="s">
        <v>56</v>
      </c>
      <c r="F64" s="14">
        <v>10</v>
      </c>
      <c r="G64" s="14">
        <v>900</v>
      </c>
      <c r="H64" s="14">
        <v>0.91</v>
      </c>
      <c r="I64" s="14">
        <v>3.67</v>
      </c>
      <c r="J64" s="14">
        <v>1295.21</v>
      </c>
      <c r="K64" s="14">
        <v>0.76839999999999997</v>
      </c>
      <c r="L64" s="14"/>
      <c r="M64" s="14"/>
      <c r="N64" s="14">
        <v>0.67</v>
      </c>
      <c r="O64" s="32">
        <v>50</v>
      </c>
      <c r="P64" s="23">
        <v>3</v>
      </c>
      <c r="Q64" s="14">
        <v>42.4</v>
      </c>
      <c r="R64" s="14">
        <v>230.2</v>
      </c>
      <c r="S64" s="17">
        <f t="shared" ref="S64:S65" si="30">R64-U64</f>
        <v>223.2</v>
      </c>
      <c r="T64" s="110">
        <f t="shared" si="27"/>
        <v>0.96959165942658554</v>
      </c>
      <c r="U64" s="17">
        <v>7</v>
      </c>
      <c r="V64" s="68">
        <f t="shared" si="29"/>
        <v>3.0408340573414423E-2</v>
      </c>
      <c r="W64" s="15" t="s">
        <v>39</v>
      </c>
      <c r="X64" s="7">
        <v>141</v>
      </c>
      <c r="Y64" s="36">
        <v>77</v>
      </c>
      <c r="Z64" s="77">
        <f t="shared" ref="Z64:Z68" si="31">Y64/X64</f>
        <v>0.54609929078014185</v>
      </c>
      <c r="AA64" s="6" t="s">
        <v>148</v>
      </c>
    </row>
    <row r="65" spans="1:27" ht="13" thickBot="1" x14ac:dyDescent="0.3">
      <c r="A65" s="29" t="s">
        <v>149</v>
      </c>
      <c r="B65" s="14" t="s">
        <v>45</v>
      </c>
      <c r="C65" s="14" t="s">
        <v>54</v>
      </c>
      <c r="D65" s="14" t="s">
        <v>147</v>
      </c>
      <c r="E65" s="35" t="s">
        <v>56</v>
      </c>
      <c r="F65" s="14">
        <v>10</v>
      </c>
      <c r="G65" s="14">
        <v>1200</v>
      </c>
      <c r="H65" s="14">
        <v>0.98</v>
      </c>
      <c r="I65" s="14">
        <v>3.83</v>
      </c>
      <c r="J65" s="14">
        <v>111.58</v>
      </c>
      <c r="K65" s="14">
        <v>8.7800000000000003E-2</v>
      </c>
      <c r="L65" s="14"/>
      <c r="M65" s="14"/>
      <c r="N65" s="14">
        <v>1.03</v>
      </c>
      <c r="O65" s="32">
        <v>50</v>
      </c>
      <c r="P65" s="23">
        <v>3</v>
      </c>
      <c r="Q65" s="14">
        <v>50.53</v>
      </c>
      <c r="R65" s="14">
        <v>315.10000000000002</v>
      </c>
      <c r="S65" s="17">
        <f t="shared" si="30"/>
        <v>237.10000000000002</v>
      </c>
      <c r="T65" s="110">
        <f t="shared" si="27"/>
        <v>0.75245953665503018</v>
      </c>
      <c r="U65" s="17">
        <v>78</v>
      </c>
      <c r="V65" s="68">
        <f t="shared" si="29"/>
        <v>0.24754046334496985</v>
      </c>
      <c r="X65" s="7">
        <v>235</v>
      </c>
      <c r="Y65" s="36">
        <v>100</v>
      </c>
      <c r="Z65" s="77">
        <f t="shared" si="31"/>
        <v>0.42553191489361702</v>
      </c>
      <c r="AA65" s="6" t="s">
        <v>148</v>
      </c>
    </row>
    <row r="66" spans="1:27" ht="12.5" x14ac:dyDescent="0.25">
      <c r="A66" s="27" t="s">
        <v>150</v>
      </c>
      <c r="B66" s="14" t="s">
        <v>45</v>
      </c>
      <c r="C66" s="14" t="s">
        <v>54</v>
      </c>
      <c r="D66" s="14" t="s">
        <v>151</v>
      </c>
      <c r="E66" s="35" t="s">
        <v>56</v>
      </c>
      <c r="F66" s="14">
        <v>10</v>
      </c>
      <c r="G66" s="14">
        <v>900</v>
      </c>
      <c r="H66" s="14">
        <v>0.6</v>
      </c>
      <c r="I66" s="14">
        <v>3.99</v>
      </c>
      <c r="J66" s="14">
        <v>6.36</v>
      </c>
      <c r="K66" s="14"/>
      <c r="L66" s="14"/>
      <c r="M66" s="14">
        <v>4.63</v>
      </c>
      <c r="N66" s="22">
        <v>1.49</v>
      </c>
      <c r="O66" s="32">
        <v>25</v>
      </c>
      <c r="P66" s="23">
        <v>2.5</v>
      </c>
      <c r="Q66" s="14">
        <v>59</v>
      </c>
      <c r="R66" s="14">
        <v>286</v>
      </c>
      <c r="S66" s="17">
        <v>204</v>
      </c>
      <c r="T66" s="110">
        <f t="shared" si="27"/>
        <v>0.71328671328671334</v>
      </c>
      <c r="U66" s="17">
        <f>R66-S66</f>
        <v>82</v>
      </c>
      <c r="V66" s="68">
        <f t="shared" si="29"/>
        <v>0.28671328671328672</v>
      </c>
      <c r="W66" s="15" t="s">
        <v>39</v>
      </c>
      <c r="X66" s="7">
        <v>225</v>
      </c>
      <c r="Y66" s="36">
        <v>101</v>
      </c>
      <c r="Z66" s="77">
        <f t="shared" si="31"/>
        <v>0.44888888888888889</v>
      </c>
      <c r="AA66" s="6" t="s">
        <v>152</v>
      </c>
    </row>
    <row r="67" spans="1:27" ht="12.5" x14ac:dyDescent="0.25">
      <c r="A67" s="28" t="s">
        <v>153</v>
      </c>
      <c r="B67" s="14" t="s">
        <v>45</v>
      </c>
      <c r="C67" s="14" t="s">
        <v>54</v>
      </c>
      <c r="D67" s="14" t="s">
        <v>151</v>
      </c>
      <c r="E67" s="35" t="s">
        <v>56</v>
      </c>
      <c r="F67" s="14">
        <v>10</v>
      </c>
      <c r="G67" s="14">
        <v>1100</v>
      </c>
      <c r="H67" s="14">
        <v>0.62</v>
      </c>
      <c r="I67" s="22">
        <v>3.9</v>
      </c>
      <c r="J67" s="14">
        <v>1</v>
      </c>
      <c r="K67" s="14"/>
      <c r="L67" s="14"/>
      <c r="M67" s="14">
        <v>4.68</v>
      </c>
      <c r="N67" s="22">
        <v>1.6</v>
      </c>
      <c r="O67" s="32">
        <v>25</v>
      </c>
      <c r="P67" s="23">
        <v>2.5</v>
      </c>
      <c r="Q67" s="14">
        <v>58</v>
      </c>
      <c r="R67" s="10">
        <v>290</v>
      </c>
      <c r="S67" s="17">
        <v>175</v>
      </c>
      <c r="T67" s="110">
        <f t="shared" si="27"/>
        <v>0.60344827586206895</v>
      </c>
      <c r="U67" s="17">
        <f t="shared" ref="U67:U70" si="32">R67-S67</f>
        <v>115</v>
      </c>
      <c r="V67" s="68">
        <f t="shared" si="29"/>
        <v>0.39655172413793105</v>
      </c>
      <c r="X67" s="7">
        <v>234</v>
      </c>
      <c r="Y67" s="36">
        <v>86</v>
      </c>
      <c r="Z67" s="77">
        <f t="shared" si="31"/>
        <v>0.36752136752136755</v>
      </c>
      <c r="AA67" s="6" t="s">
        <v>152</v>
      </c>
    </row>
    <row r="68" spans="1:27" ht="12.5" x14ac:dyDescent="0.25">
      <c r="A68" s="28" t="s">
        <v>154</v>
      </c>
      <c r="B68" s="14" t="s">
        <v>45</v>
      </c>
      <c r="C68" s="14" t="s">
        <v>54</v>
      </c>
      <c r="D68" s="14" t="s">
        <v>151</v>
      </c>
      <c r="E68" s="35" t="s">
        <v>56</v>
      </c>
      <c r="F68" s="14">
        <v>10</v>
      </c>
      <c r="G68" s="14">
        <v>1300</v>
      </c>
      <c r="H68" s="14">
        <v>0.66</v>
      </c>
      <c r="I68" s="14">
        <v>3.72</v>
      </c>
      <c r="J68" s="14">
        <v>3.82</v>
      </c>
      <c r="K68" s="14"/>
      <c r="L68" s="14"/>
      <c r="M68" s="14">
        <v>4.71</v>
      </c>
      <c r="N68" s="22">
        <v>1.7</v>
      </c>
      <c r="O68" s="32">
        <v>25</v>
      </c>
      <c r="P68" s="23">
        <v>2.5</v>
      </c>
      <c r="Q68" s="14">
        <v>67</v>
      </c>
      <c r="R68" s="14">
        <v>320</v>
      </c>
      <c r="S68" s="17">
        <v>157</v>
      </c>
      <c r="T68" s="110">
        <f t="shared" si="27"/>
        <v>0.49062499999999998</v>
      </c>
      <c r="U68" s="17">
        <f t="shared" si="32"/>
        <v>163</v>
      </c>
      <c r="V68" s="68">
        <f t="shared" si="29"/>
        <v>0.50937500000000002</v>
      </c>
      <c r="X68" s="7">
        <v>279</v>
      </c>
      <c r="Y68" s="36">
        <v>86</v>
      </c>
      <c r="Z68" s="77">
        <f t="shared" si="31"/>
        <v>0.30824372759856633</v>
      </c>
      <c r="AA68" s="6" t="s">
        <v>152</v>
      </c>
    </row>
    <row r="69" spans="1:27" ht="12.5" x14ac:dyDescent="0.25">
      <c r="A69" s="28" t="s">
        <v>155</v>
      </c>
      <c r="B69" s="14" t="s">
        <v>45</v>
      </c>
      <c r="C69" s="14" t="s">
        <v>54</v>
      </c>
      <c r="D69" s="14" t="s">
        <v>151</v>
      </c>
      <c r="E69" s="35" t="s">
        <v>56</v>
      </c>
      <c r="F69" s="14">
        <v>10</v>
      </c>
      <c r="G69" s="14">
        <v>1500</v>
      </c>
      <c r="H69" s="14">
        <v>0.89</v>
      </c>
      <c r="I69" s="14">
        <v>3.68</v>
      </c>
      <c r="J69" s="14">
        <v>3.21</v>
      </c>
      <c r="K69" s="14"/>
      <c r="L69" s="14"/>
      <c r="M69" s="14">
        <v>4.92</v>
      </c>
      <c r="N69" s="22">
        <v>1.76</v>
      </c>
      <c r="O69" s="32">
        <v>25</v>
      </c>
      <c r="P69" s="23">
        <v>2.5</v>
      </c>
      <c r="Q69" s="14">
        <v>73</v>
      </c>
      <c r="R69" s="14">
        <v>345</v>
      </c>
      <c r="S69" s="17">
        <v>145</v>
      </c>
      <c r="T69" s="110">
        <f t="shared" si="27"/>
        <v>0.42028985507246375</v>
      </c>
      <c r="U69" s="17">
        <f t="shared" si="32"/>
        <v>200</v>
      </c>
      <c r="V69" s="68">
        <f t="shared" si="29"/>
        <v>0.57971014492753625</v>
      </c>
      <c r="X69" s="24">
        <v>302</v>
      </c>
      <c r="Y69" s="36">
        <v>77</v>
      </c>
      <c r="Z69" s="77">
        <f>Y69/X69</f>
        <v>0.25496688741721857</v>
      </c>
      <c r="AA69" s="6" t="s">
        <v>152</v>
      </c>
    </row>
    <row r="70" spans="1:27" ht="13" thickBot="1" x14ac:dyDescent="0.3">
      <c r="A70" s="29" t="s">
        <v>156</v>
      </c>
      <c r="B70" s="14" t="s">
        <v>45</v>
      </c>
      <c r="C70" s="14" t="s">
        <v>54</v>
      </c>
      <c r="D70" s="14" t="s">
        <v>151</v>
      </c>
      <c r="E70" s="35" t="s">
        <v>56</v>
      </c>
      <c r="F70" s="14">
        <v>10</v>
      </c>
      <c r="G70" s="14">
        <v>1600</v>
      </c>
      <c r="H70" s="14">
        <v>0.92</v>
      </c>
      <c r="I70" s="14">
        <v>3.62</v>
      </c>
      <c r="J70" s="14">
        <v>1.06</v>
      </c>
      <c r="K70" s="14"/>
      <c r="L70" s="14"/>
      <c r="M70" s="14">
        <v>5.12</v>
      </c>
      <c r="N70" s="22">
        <v>1.8</v>
      </c>
      <c r="O70" s="32">
        <v>25</v>
      </c>
      <c r="P70" s="23">
        <v>2.5</v>
      </c>
      <c r="Q70" s="14">
        <v>75</v>
      </c>
      <c r="R70" s="14">
        <v>314</v>
      </c>
      <c r="S70" s="17">
        <v>134</v>
      </c>
      <c r="T70" s="110">
        <f t="shared" si="27"/>
        <v>0.42675159235668791</v>
      </c>
      <c r="U70" s="17">
        <f t="shared" si="32"/>
        <v>180</v>
      </c>
      <c r="V70" s="68">
        <f t="shared" si="29"/>
        <v>0.57324840764331209</v>
      </c>
      <c r="X70" s="7">
        <v>240</v>
      </c>
      <c r="Y70" s="36">
        <v>55</v>
      </c>
      <c r="Z70" s="77">
        <f>Y70/X70</f>
        <v>0.22916666666666666</v>
      </c>
      <c r="AA70" s="6" t="s">
        <v>152</v>
      </c>
    </row>
    <row r="71" spans="1:27" ht="12.5" x14ac:dyDescent="0.25">
      <c r="A71" s="27" t="s">
        <v>157</v>
      </c>
      <c r="B71" s="14" t="s">
        <v>158</v>
      </c>
      <c r="C71" s="14" t="s">
        <v>159</v>
      </c>
      <c r="D71" s="14" t="s">
        <v>109</v>
      </c>
      <c r="E71" s="14" t="s">
        <v>160</v>
      </c>
      <c r="F71" s="14">
        <v>0</v>
      </c>
      <c r="G71" s="14">
        <v>1000</v>
      </c>
      <c r="H71" s="14"/>
      <c r="I71" s="14">
        <v>4.08</v>
      </c>
      <c r="J71" s="14">
        <v>5.4850000000000003</v>
      </c>
      <c r="K71" s="14"/>
      <c r="L71" s="14"/>
      <c r="M71" s="14"/>
      <c r="N71" s="14">
        <v>1.34</v>
      </c>
      <c r="O71" s="32">
        <v>30</v>
      </c>
      <c r="P71" s="23">
        <v>2</v>
      </c>
      <c r="Q71" s="14">
        <v>77</v>
      </c>
      <c r="R71" s="32">
        <v>265</v>
      </c>
      <c r="S71" s="32">
        <v>127</v>
      </c>
      <c r="T71" s="109">
        <f t="shared" si="27"/>
        <v>0.47924528301886793</v>
      </c>
      <c r="U71" s="32">
        <v>140</v>
      </c>
      <c r="V71" s="67">
        <f>U71/R71</f>
        <v>0.52830188679245282</v>
      </c>
      <c r="W71" s="15" t="s">
        <v>74</v>
      </c>
      <c r="X71" s="24"/>
      <c r="Y71" s="18"/>
      <c r="Z71" s="78"/>
      <c r="AA71" s="6" t="s">
        <v>161</v>
      </c>
    </row>
    <row r="72" spans="1:27" ht="12.5" x14ac:dyDescent="0.25">
      <c r="A72" s="28" t="s">
        <v>162</v>
      </c>
      <c r="B72" s="14" t="s">
        <v>158</v>
      </c>
      <c r="C72" s="14" t="s">
        <v>159</v>
      </c>
      <c r="D72" s="14" t="s">
        <v>109</v>
      </c>
      <c r="E72" s="14" t="s">
        <v>160</v>
      </c>
      <c r="F72" s="14">
        <v>0</v>
      </c>
      <c r="G72" s="14">
        <v>1300</v>
      </c>
      <c r="H72" s="14"/>
      <c r="I72" s="14">
        <v>3.98</v>
      </c>
      <c r="J72" s="14">
        <v>3.7330000000000001</v>
      </c>
      <c r="K72" s="14"/>
      <c r="L72" s="14"/>
      <c r="M72" s="14"/>
      <c r="N72" s="14">
        <v>1.39</v>
      </c>
      <c r="O72" s="32">
        <v>30</v>
      </c>
      <c r="P72" s="23">
        <v>2</v>
      </c>
      <c r="Q72" s="14">
        <v>86</v>
      </c>
      <c r="R72" s="32">
        <v>298</v>
      </c>
      <c r="S72" s="32">
        <v>93</v>
      </c>
      <c r="T72" s="109">
        <f t="shared" si="27"/>
        <v>0.31208053691275167</v>
      </c>
      <c r="U72" s="32">
        <v>205</v>
      </c>
      <c r="V72" s="67">
        <f t="shared" ref="V72:V85" si="33">U72/R72</f>
        <v>0.68791946308724827</v>
      </c>
      <c r="X72" s="24"/>
      <c r="Y72" s="18"/>
      <c r="Z72" s="79"/>
      <c r="AA72" s="6" t="s">
        <v>161</v>
      </c>
    </row>
    <row r="73" spans="1:27" ht="13" thickBot="1" x14ac:dyDescent="0.3">
      <c r="A73" s="29" t="s">
        <v>163</v>
      </c>
      <c r="B73" s="14" t="s">
        <v>158</v>
      </c>
      <c r="C73" s="14" t="s">
        <v>159</v>
      </c>
      <c r="D73" s="14" t="s">
        <v>109</v>
      </c>
      <c r="E73" s="14" t="s">
        <v>160</v>
      </c>
      <c r="F73" s="14">
        <v>0</v>
      </c>
      <c r="G73" s="14">
        <v>1600</v>
      </c>
      <c r="H73" s="14"/>
      <c r="I73" s="14">
        <v>3.89</v>
      </c>
      <c r="J73" s="14">
        <v>1.431</v>
      </c>
      <c r="K73" s="14"/>
      <c r="L73" s="14"/>
      <c r="M73" s="14"/>
      <c r="N73" s="14">
        <v>1.47</v>
      </c>
      <c r="O73" s="32">
        <v>30</v>
      </c>
      <c r="P73" s="23">
        <v>2</v>
      </c>
      <c r="Q73" s="14">
        <v>87</v>
      </c>
      <c r="R73" s="32">
        <v>285</v>
      </c>
      <c r="S73" s="32">
        <v>61</v>
      </c>
      <c r="T73" s="109">
        <f t="shared" si="27"/>
        <v>0.21403508771929824</v>
      </c>
      <c r="U73" s="32">
        <v>225</v>
      </c>
      <c r="V73" s="67">
        <f t="shared" si="33"/>
        <v>0.78947368421052633</v>
      </c>
      <c r="X73" s="24"/>
      <c r="Y73" s="18"/>
      <c r="Z73" s="79"/>
      <c r="AA73" s="6" t="s">
        <v>161</v>
      </c>
    </row>
    <row r="74" spans="1:27" ht="12.5" x14ac:dyDescent="0.25">
      <c r="A74" s="27" t="s">
        <v>164</v>
      </c>
      <c r="B74" s="14" t="s">
        <v>45</v>
      </c>
      <c r="C74" s="14" t="s">
        <v>54</v>
      </c>
      <c r="D74" s="14" t="s">
        <v>165</v>
      </c>
      <c r="E74" s="35" t="s">
        <v>56</v>
      </c>
      <c r="F74" s="14">
        <v>10</v>
      </c>
      <c r="G74" s="14">
        <v>900</v>
      </c>
      <c r="H74" s="14">
        <v>0.67300000000000004</v>
      </c>
      <c r="I74" s="22">
        <v>3.9</v>
      </c>
      <c r="J74" s="14">
        <v>1</v>
      </c>
      <c r="K74" s="14"/>
      <c r="L74" s="14"/>
      <c r="M74" s="14"/>
      <c r="N74" s="14">
        <v>1.1299999999999999</v>
      </c>
      <c r="O74" s="32">
        <v>25</v>
      </c>
      <c r="P74" s="23">
        <v>2</v>
      </c>
      <c r="Q74" s="14">
        <v>61.2</v>
      </c>
      <c r="R74" s="14">
        <v>243</v>
      </c>
      <c r="S74" s="17">
        <f>R74-U74</f>
        <v>178</v>
      </c>
      <c r="T74" s="110">
        <f t="shared" si="27"/>
        <v>0.73251028806584362</v>
      </c>
      <c r="U74" s="17">
        <v>65</v>
      </c>
      <c r="V74" s="68">
        <f t="shared" si="33"/>
        <v>0.26748971193415638</v>
      </c>
      <c r="W74" s="15" t="s">
        <v>39</v>
      </c>
      <c r="X74" s="7">
        <v>220</v>
      </c>
      <c r="Y74" s="36">
        <v>82</v>
      </c>
      <c r="Z74" s="77">
        <f>Y74/X74</f>
        <v>0.37272727272727274</v>
      </c>
      <c r="AA74" s="6" t="s">
        <v>166</v>
      </c>
    </row>
    <row r="75" spans="1:27" ht="12.5" x14ac:dyDescent="0.25">
      <c r="A75" s="28" t="s">
        <v>167</v>
      </c>
      <c r="B75" s="14" t="s">
        <v>45</v>
      </c>
      <c r="C75" s="14" t="s">
        <v>54</v>
      </c>
      <c r="D75" s="14" t="s">
        <v>165</v>
      </c>
      <c r="E75" s="35" t="s">
        <v>56</v>
      </c>
      <c r="F75" s="14">
        <v>10</v>
      </c>
      <c r="G75" s="14">
        <v>1100</v>
      </c>
      <c r="H75" s="14">
        <v>0.69899999999999995</v>
      </c>
      <c r="I75" s="22">
        <v>3.9</v>
      </c>
      <c r="J75" s="14">
        <v>1</v>
      </c>
      <c r="K75" s="14"/>
      <c r="L75" s="14"/>
      <c r="M75" s="14"/>
      <c r="N75" s="14">
        <v>1.19</v>
      </c>
      <c r="O75" s="32">
        <v>25</v>
      </c>
      <c r="P75" s="23">
        <v>2</v>
      </c>
      <c r="Q75" s="14">
        <v>62.9</v>
      </c>
      <c r="R75" s="10">
        <v>289</v>
      </c>
      <c r="S75" s="17">
        <f t="shared" ref="S75:S85" si="34">R75-U75</f>
        <v>179</v>
      </c>
      <c r="T75" s="110">
        <f t="shared" si="27"/>
        <v>0.61937716262975784</v>
      </c>
      <c r="U75" s="17">
        <v>110</v>
      </c>
      <c r="V75" s="68">
        <f t="shared" si="33"/>
        <v>0.38062283737024222</v>
      </c>
      <c r="X75" s="7">
        <v>223</v>
      </c>
      <c r="Y75" s="36">
        <v>75</v>
      </c>
      <c r="Z75" s="77">
        <f t="shared" ref="Z75:Z78" si="35">Y75/X75</f>
        <v>0.33632286995515698</v>
      </c>
      <c r="AA75" s="6" t="s">
        <v>166</v>
      </c>
    </row>
    <row r="76" spans="1:27" ht="12.5" x14ac:dyDescent="0.25">
      <c r="A76" s="28" t="s">
        <v>168</v>
      </c>
      <c r="B76" s="14" t="s">
        <v>45</v>
      </c>
      <c r="C76" s="14" t="s">
        <v>54</v>
      </c>
      <c r="D76" s="14" t="s">
        <v>165</v>
      </c>
      <c r="E76" s="35" t="s">
        <v>56</v>
      </c>
      <c r="F76" s="14">
        <v>10</v>
      </c>
      <c r="G76" s="14">
        <v>1300</v>
      </c>
      <c r="H76" s="14">
        <v>0.748</v>
      </c>
      <c r="I76" s="22">
        <v>3.9</v>
      </c>
      <c r="J76" s="14">
        <v>1.32</v>
      </c>
      <c r="K76" s="14"/>
      <c r="L76" s="14"/>
      <c r="M76" s="14"/>
      <c r="N76" s="14">
        <v>1.25</v>
      </c>
      <c r="O76" s="32">
        <v>25</v>
      </c>
      <c r="P76" s="23">
        <v>2</v>
      </c>
      <c r="Q76" s="23">
        <v>64</v>
      </c>
      <c r="R76" s="14">
        <v>334</v>
      </c>
      <c r="S76" s="17">
        <f t="shared" si="34"/>
        <v>187</v>
      </c>
      <c r="T76" s="110">
        <f t="shared" si="27"/>
        <v>0.55988023952095811</v>
      </c>
      <c r="U76" s="17">
        <v>147</v>
      </c>
      <c r="V76" s="68">
        <f t="shared" si="33"/>
        <v>0.44011976047904194</v>
      </c>
      <c r="X76" s="7">
        <v>244</v>
      </c>
      <c r="Y76" s="36">
        <v>96</v>
      </c>
      <c r="Z76" s="77">
        <f t="shared" si="35"/>
        <v>0.39344262295081966</v>
      </c>
      <c r="AA76" s="6" t="s">
        <v>166</v>
      </c>
    </row>
    <row r="77" spans="1:27" ht="12.5" x14ac:dyDescent="0.25">
      <c r="A77" s="28" t="s">
        <v>169</v>
      </c>
      <c r="B77" s="14" t="s">
        <v>45</v>
      </c>
      <c r="C77" s="14" t="s">
        <v>54</v>
      </c>
      <c r="D77" s="14" t="s">
        <v>165</v>
      </c>
      <c r="E77" s="35" t="s">
        <v>56</v>
      </c>
      <c r="F77" s="14">
        <v>10</v>
      </c>
      <c r="G77" s="14">
        <v>1500</v>
      </c>
      <c r="H77" s="14">
        <v>0.78700000000000003</v>
      </c>
      <c r="I77" s="22">
        <v>3.7</v>
      </c>
      <c r="J77" s="14">
        <v>2.61</v>
      </c>
      <c r="K77" s="14"/>
      <c r="L77" s="14"/>
      <c r="M77" s="14"/>
      <c r="N77" s="14">
        <v>1.35</v>
      </c>
      <c r="O77" s="32">
        <v>25</v>
      </c>
      <c r="P77" s="23">
        <v>2</v>
      </c>
      <c r="Q77" s="14">
        <v>66.099999999999994</v>
      </c>
      <c r="R77" s="10">
        <v>321</v>
      </c>
      <c r="S77" s="17">
        <f t="shared" si="34"/>
        <v>133</v>
      </c>
      <c r="T77" s="110">
        <f t="shared" si="27"/>
        <v>0.41433021806853582</v>
      </c>
      <c r="U77" s="17">
        <v>188</v>
      </c>
      <c r="V77" s="68">
        <f t="shared" si="33"/>
        <v>0.58566978193146413</v>
      </c>
      <c r="X77" s="7">
        <v>229</v>
      </c>
      <c r="Y77" s="36">
        <v>57</v>
      </c>
      <c r="Z77" s="77">
        <f t="shared" si="35"/>
        <v>0.24890829694323144</v>
      </c>
      <c r="AA77" s="6" t="s">
        <v>166</v>
      </c>
    </row>
    <row r="78" spans="1:27" ht="13" thickBot="1" x14ac:dyDescent="0.3">
      <c r="A78" s="29" t="s">
        <v>170</v>
      </c>
      <c r="B78" s="14" t="s">
        <v>45</v>
      </c>
      <c r="C78" s="14" t="s">
        <v>54</v>
      </c>
      <c r="D78" s="14" t="s">
        <v>165</v>
      </c>
      <c r="E78" s="35" t="s">
        <v>56</v>
      </c>
      <c r="F78" s="14">
        <v>10</v>
      </c>
      <c r="G78" s="14">
        <v>1600</v>
      </c>
      <c r="H78" s="14">
        <v>0.85699999999999998</v>
      </c>
      <c r="I78" s="14">
        <v>3.61</v>
      </c>
      <c r="J78" s="14">
        <v>2.4</v>
      </c>
      <c r="K78" s="14"/>
      <c r="L78" s="14"/>
      <c r="M78" s="14"/>
      <c r="N78" s="14">
        <v>1.43</v>
      </c>
      <c r="O78" s="32">
        <v>25</v>
      </c>
      <c r="P78" s="23">
        <v>2</v>
      </c>
      <c r="Q78" s="14">
        <v>67.3</v>
      </c>
      <c r="R78" s="10">
        <v>301</v>
      </c>
      <c r="S78" s="17">
        <f t="shared" si="34"/>
        <v>113</v>
      </c>
      <c r="T78" s="110">
        <f t="shared" si="27"/>
        <v>0.37541528239202659</v>
      </c>
      <c r="U78" s="17">
        <v>188</v>
      </c>
      <c r="V78" s="68">
        <f t="shared" si="33"/>
        <v>0.62458471760797341</v>
      </c>
      <c r="X78" s="7">
        <v>193</v>
      </c>
      <c r="Y78" s="36">
        <v>53</v>
      </c>
      <c r="Z78" s="77">
        <f t="shared" si="35"/>
        <v>0.27461139896373055</v>
      </c>
      <c r="AA78" s="6" t="s">
        <v>166</v>
      </c>
    </row>
    <row r="79" spans="1:27" ht="12.5" x14ac:dyDescent="0.25">
      <c r="A79" s="27" t="s">
        <v>171</v>
      </c>
      <c r="B79" s="14" t="s">
        <v>45</v>
      </c>
      <c r="C79" s="14" t="s">
        <v>36</v>
      </c>
      <c r="D79" s="14" t="s">
        <v>172</v>
      </c>
      <c r="E79" s="35" t="s">
        <v>56</v>
      </c>
      <c r="F79" s="14">
        <v>0</v>
      </c>
      <c r="G79" s="14">
        <v>800</v>
      </c>
      <c r="H79" s="14">
        <v>2.66</v>
      </c>
      <c r="I79" s="22">
        <v>4</v>
      </c>
      <c r="J79" s="14">
        <v>99</v>
      </c>
      <c r="K79" s="61">
        <v>5.3999999999999999E-2</v>
      </c>
      <c r="L79" s="14">
        <v>2.2000000000000002</v>
      </c>
      <c r="M79" s="14"/>
      <c r="N79" s="22">
        <v>8.99</v>
      </c>
      <c r="O79" s="32">
        <v>25</v>
      </c>
      <c r="P79" s="23">
        <v>2</v>
      </c>
      <c r="Q79" s="14">
        <v>66.2</v>
      </c>
      <c r="R79" s="14">
        <v>232</v>
      </c>
      <c r="S79" s="17">
        <f t="shared" si="34"/>
        <v>157</v>
      </c>
      <c r="T79" s="110">
        <f t="shared" si="27"/>
        <v>0.67672413793103448</v>
      </c>
      <c r="U79" s="10">
        <v>75</v>
      </c>
      <c r="V79" s="68">
        <f t="shared" si="33"/>
        <v>0.32327586206896552</v>
      </c>
      <c r="W79" s="15" t="s">
        <v>74</v>
      </c>
      <c r="X79" s="24"/>
      <c r="Y79" s="18"/>
      <c r="Z79" s="78"/>
      <c r="AA79" s="6" t="s">
        <v>173</v>
      </c>
    </row>
    <row r="80" spans="1:27" ht="12.5" x14ac:dyDescent="0.25">
      <c r="A80" s="28" t="s">
        <v>174</v>
      </c>
      <c r="B80" s="14" t="s">
        <v>45</v>
      </c>
      <c r="C80" s="14" t="s">
        <v>36</v>
      </c>
      <c r="D80" s="14" t="s">
        <v>172</v>
      </c>
      <c r="E80" s="35" t="s">
        <v>56</v>
      </c>
      <c r="F80" s="14">
        <v>0</v>
      </c>
      <c r="G80" s="14">
        <v>1000</v>
      </c>
      <c r="H80" s="14">
        <v>2.4700000000000002</v>
      </c>
      <c r="I80" s="22">
        <v>4</v>
      </c>
      <c r="J80" s="14">
        <v>7.7</v>
      </c>
      <c r="K80" s="14">
        <v>4.4999999999999997E-3</v>
      </c>
      <c r="L80" s="14">
        <v>2.4</v>
      </c>
      <c r="M80" s="14"/>
      <c r="N80" s="22">
        <v>8.6199999999999992</v>
      </c>
      <c r="O80" s="32">
        <v>25</v>
      </c>
      <c r="P80" s="23">
        <v>2</v>
      </c>
      <c r="Q80" s="14">
        <v>77.900000000000006</v>
      </c>
      <c r="R80" s="14">
        <v>286</v>
      </c>
      <c r="S80" s="17">
        <f t="shared" si="34"/>
        <v>156</v>
      </c>
      <c r="T80" s="110">
        <f t="shared" si="27"/>
        <v>0.54545454545454541</v>
      </c>
      <c r="U80" s="17">
        <v>130</v>
      </c>
      <c r="V80" s="68">
        <f>U80/R80</f>
        <v>0.45454545454545453</v>
      </c>
      <c r="X80" s="24"/>
      <c r="Y80" s="18"/>
      <c r="Z80" s="79"/>
      <c r="AA80" s="6" t="s">
        <v>173</v>
      </c>
    </row>
    <row r="81" spans="1:27" ht="12.5" x14ac:dyDescent="0.25">
      <c r="A81" s="28" t="s">
        <v>175</v>
      </c>
      <c r="B81" s="14" t="s">
        <v>45</v>
      </c>
      <c r="C81" s="14" t="s">
        <v>36</v>
      </c>
      <c r="D81" s="14" t="s">
        <v>172</v>
      </c>
      <c r="E81" s="35" t="s">
        <v>56</v>
      </c>
      <c r="F81" s="14">
        <v>0</v>
      </c>
      <c r="G81" s="14">
        <v>1200</v>
      </c>
      <c r="H81" s="14">
        <v>2.23</v>
      </c>
      <c r="I81" s="14">
        <v>3.93</v>
      </c>
      <c r="J81" s="14">
        <v>3.9</v>
      </c>
      <c r="K81" s="14">
        <v>4.7000000000000002E-3</v>
      </c>
      <c r="L81" s="14">
        <v>4.8</v>
      </c>
      <c r="M81" s="14"/>
      <c r="N81" s="22">
        <v>8.6999999999999993</v>
      </c>
      <c r="O81" s="32">
        <v>25</v>
      </c>
      <c r="P81" s="23">
        <v>2</v>
      </c>
      <c r="Q81" s="14">
        <v>81.2</v>
      </c>
      <c r="R81" s="14">
        <v>296</v>
      </c>
      <c r="S81" s="17">
        <f t="shared" si="34"/>
        <v>133</v>
      </c>
      <c r="T81" s="110">
        <f t="shared" si="27"/>
        <v>0.44932432432432434</v>
      </c>
      <c r="U81" s="17">
        <v>163</v>
      </c>
      <c r="V81" s="68">
        <f t="shared" si="33"/>
        <v>0.55067567567567566</v>
      </c>
      <c r="X81" s="24"/>
      <c r="Y81" s="18"/>
      <c r="Z81" s="79"/>
      <c r="AA81" s="6" t="s">
        <v>173</v>
      </c>
    </row>
    <row r="82" spans="1:27" ht="12.5" x14ac:dyDescent="0.25">
      <c r="A82" s="28" t="s">
        <v>176</v>
      </c>
      <c r="B82" s="14" t="s">
        <v>45</v>
      </c>
      <c r="C82" s="14" t="s">
        <v>36</v>
      </c>
      <c r="D82" s="14" t="s">
        <v>172</v>
      </c>
      <c r="E82" s="35" t="s">
        <v>56</v>
      </c>
      <c r="F82" s="14">
        <v>0</v>
      </c>
      <c r="G82" s="14">
        <v>1300</v>
      </c>
      <c r="H82" s="14">
        <v>2.06</v>
      </c>
      <c r="I82" s="14">
        <v>3.88</v>
      </c>
      <c r="J82" s="14">
        <v>2.6</v>
      </c>
      <c r="K82" s="14">
        <v>4.8999999999999998E-3</v>
      </c>
      <c r="L82" s="14">
        <v>7.6</v>
      </c>
      <c r="M82" s="14"/>
      <c r="N82" s="23">
        <v>10</v>
      </c>
      <c r="O82" s="32">
        <v>25</v>
      </c>
      <c r="P82" s="23">
        <v>2</v>
      </c>
      <c r="Q82" s="14">
        <v>83.9</v>
      </c>
      <c r="R82" s="14">
        <v>300</v>
      </c>
      <c r="S82" s="17">
        <f t="shared" si="34"/>
        <v>129</v>
      </c>
      <c r="T82" s="110">
        <f t="shared" si="27"/>
        <v>0.43</v>
      </c>
      <c r="U82" s="17">
        <v>171</v>
      </c>
      <c r="V82" s="68">
        <f t="shared" si="33"/>
        <v>0.56999999999999995</v>
      </c>
      <c r="X82" s="24"/>
      <c r="Y82" s="18"/>
      <c r="Z82" s="79"/>
      <c r="AA82" s="6" t="s">
        <v>173</v>
      </c>
    </row>
    <row r="83" spans="1:27" ht="12.5" x14ac:dyDescent="0.25">
      <c r="A83" s="28" t="s">
        <v>177</v>
      </c>
      <c r="B83" s="14" t="s">
        <v>45</v>
      </c>
      <c r="C83" s="14" t="s">
        <v>36</v>
      </c>
      <c r="D83" s="14" t="s">
        <v>172</v>
      </c>
      <c r="E83" s="35" t="s">
        <v>56</v>
      </c>
      <c r="F83" s="14">
        <v>0</v>
      </c>
      <c r="G83" s="14">
        <v>800</v>
      </c>
      <c r="H83" s="14">
        <v>1.77</v>
      </c>
      <c r="I83" s="14">
        <v>3.91</v>
      </c>
      <c r="J83" s="14">
        <v>380</v>
      </c>
      <c r="K83" s="61">
        <v>0.2</v>
      </c>
      <c r="L83" s="14">
        <v>2.1</v>
      </c>
      <c r="M83" s="14"/>
      <c r="N83" s="23">
        <v>10.1</v>
      </c>
      <c r="O83" s="32">
        <v>25</v>
      </c>
      <c r="P83" s="23">
        <v>2</v>
      </c>
      <c r="Q83" s="14">
        <v>76.900000000000006</v>
      </c>
      <c r="R83" s="14">
        <v>286</v>
      </c>
      <c r="S83" s="17">
        <f t="shared" si="34"/>
        <v>160</v>
      </c>
      <c r="T83" s="110">
        <f t="shared" si="27"/>
        <v>0.55944055944055948</v>
      </c>
      <c r="U83" s="17">
        <v>126</v>
      </c>
      <c r="V83" s="68">
        <f t="shared" si="33"/>
        <v>0.44055944055944057</v>
      </c>
      <c r="X83" s="24"/>
      <c r="Y83" s="18"/>
      <c r="Z83" s="79"/>
      <c r="AA83" s="6" t="s">
        <v>173</v>
      </c>
    </row>
    <row r="84" spans="1:27" ht="12.5" x14ac:dyDescent="0.25">
      <c r="A84" s="28" t="s">
        <v>178</v>
      </c>
      <c r="B84" s="14" t="s">
        <v>45</v>
      </c>
      <c r="C84" s="14" t="s">
        <v>36</v>
      </c>
      <c r="D84" s="14" t="s">
        <v>172</v>
      </c>
      <c r="E84" s="35" t="s">
        <v>56</v>
      </c>
      <c r="F84" s="14">
        <v>0</v>
      </c>
      <c r="G84" s="14">
        <v>1000</v>
      </c>
      <c r="H84" s="14">
        <v>1.78</v>
      </c>
      <c r="I84" s="22">
        <v>3.9</v>
      </c>
      <c r="J84" s="14">
        <v>270</v>
      </c>
      <c r="K84" s="61">
        <v>0.15</v>
      </c>
      <c r="L84" s="14">
        <v>2.2999999999999998</v>
      </c>
      <c r="M84" s="14"/>
      <c r="N84" s="22">
        <v>9.61</v>
      </c>
      <c r="O84" s="32">
        <v>25</v>
      </c>
      <c r="P84" s="23">
        <v>2</v>
      </c>
      <c r="Q84" s="14">
        <v>83.9</v>
      </c>
      <c r="R84" s="14">
        <v>299</v>
      </c>
      <c r="S84" s="17">
        <f t="shared" si="34"/>
        <v>129</v>
      </c>
      <c r="T84" s="110">
        <f t="shared" si="27"/>
        <v>0.43143812709030099</v>
      </c>
      <c r="U84" s="17">
        <v>170</v>
      </c>
      <c r="V84" s="68">
        <f t="shared" si="33"/>
        <v>0.56856187290969895</v>
      </c>
      <c r="X84" s="24"/>
      <c r="Y84" s="18"/>
      <c r="Z84" s="79"/>
      <c r="AA84" s="6" t="s">
        <v>173</v>
      </c>
    </row>
    <row r="85" spans="1:27" ht="12.5" x14ac:dyDescent="0.25">
      <c r="A85" s="28" t="s">
        <v>179</v>
      </c>
      <c r="B85" s="14" t="s">
        <v>45</v>
      </c>
      <c r="C85" s="14" t="s">
        <v>36</v>
      </c>
      <c r="D85" s="14" t="s">
        <v>172</v>
      </c>
      <c r="E85" s="35" t="s">
        <v>56</v>
      </c>
      <c r="F85" s="14">
        <v>0</v>
      </c>
      <c r="G85" s="14">
        <v>1200</v>
      </c>
      <c r="H85" s="14">
        <v>1.77</v>
      </c>
      <c r="I85" s="14">
        <v>3.93</v>
      </c>
      <c r="J85" s="14">
        <v>23</v>
      </c>
      <c r="K85" s="61">
        <v>1.9E-2</v>
      </c>
      <c r="L85" s="14">
        <v>3.3</v>
      </c>
      <c r="M85" s="14"/>
      <c r="N85" s="14">
        <v>11.4</v>
      </c>
      <c r="O85" s="32">
        <v>25</v>
      </c>
      <c r="P85" s="23">
        <v>2</v>
      </c>
      <c r="Q85" s="23">
        <v>79</v>
      </c>
      <c r="R85" s="14">
        <v>333</v>
      </c>
      <c r="S85" s="17">
        <f t="shared" si="34"/>
        <v>136</v>
      </c>
      <c r="T85" s="110">
        <f t="shared" si="27"/>
        <v>0.40840840840840842</v>
      </c>
      <c r="U85" s="17">
        <v>197</v>
      </c>
      <c r="V85" s="68">
        <f t="shared" si="33"/>
        <v>0.59159159159159158</v>
      </c>
      <c r="X85" s="24"/>
      <c r="Y85" s="18"/>
      <c r="Z85" s="79"/>
      <c r="AA85" s="6" t="s">
        <v>173</v>
      </c>
    </row>
    <row r="86" spans="1:27" ht="13" thickBot="1" x14ac:dyDescent="0.3">
      <c r="A86" s="29" t="s">
        <v>180</v>
      </c>
      <c r="B86" s="14" t="s">
        <v>45</v>
      </c>
      <c r="C86" s="14" t="s">
        <v>36</v>
      </c>
      <c r="D86" s="14" t="s">
        <v>172</v>
      </c>
      <c r="E86" s="35" t="s">
        <v>56</v>
      </c>
      <c r="F86" s="14">
        <v>0</v>
      </c>
      <c r="G86" s="14">
        <v>1300</v>
      </c>
      <c r="H86" s="14">
        <v>1.76</v>
      </c>
      <c r="I86" s="14">
        <v>3.85</v>
      </c>
      <c r="J86" s="14">
        <v>24</v>
      </c>
      <c r="K86" s="61">
        <v>1.7999999999999999E-2</v>
      </c>
      <c r="L86" s="23">
        <v>3</v>
      </c>
      <c r="M86" s="14"/>
      <c r="N86" s="14">
        <v>10.9</v>
      </c>
      <c r="O86" s="32">
        <v>25</v>
      </c>
      <c r="P86" s="23">
        <v>2</v>
      </c>
      <c r="Q86" s="14">
        <v>86.8</v>
      </c>
      <c r="R86" s="14">
        <v>312</v>
      </c>
      <c r="S86" s="17">
        <f>R86-U86</f>
        <v>102</v>
      </c>
      <c r="T86" s="110">
        <f>S86/R86</f>
        <v>0.32692307692307693</v>
      </c>
      <c r="U86" s="17">
        <v>210</v>
      </c>
      <c r="V86" s="68">
        <f>U86/R86</f>
        <v>0.67307692307692313</v>
      </c>
      <c r="X86" s="24"/>
      <c r="Y86" s="18"/>
      <c r="Z86" s="79"/>
      <c r="AA86" s="6" t="s">
        <v>173</v>
      </c>
    </row>
    <row r="87" spans="1:27" ht="12.65" customHeight="1" thickBot="1" x14ac:dyDescent="0.3">
      <c r="A87" s="39" t="s">
        <v>181</v>
      </c>
      <c r="B87" s="14" t="s">
        <v>100</v>
      </c>
      <c r="C87" s="14" t="s">
        <v>54</v>
      </c>
      <c r="D87" s="14" t="s">
        <v>182</v>
      </c>
      <c r="E87" s="14" t="s">
        <v>38</v>
      </c>
      <c r="F87" s="14">
        <v>10</v>
      </c>
      <c r="G87" s="14">
        <v>1000</v>
      </c>
      <c r="H87" s="14">
        <v>2.74</v>
      </c>
      <c r="I87" s="14">
        <v>3.85</v>
      </c>
      <c r="J87" s="14">
        <v>196.3</v>
      </c>
      <c r="K87" s="14"/>
      <c r="L87" s="14"/>
      <c r="M87" s="14"/>
      <c r="N87" s="14"/>
      <c r="O87" s="32">
        <v>4</v>
      </c>
      <c r="P87" s="23">
        <v>3</v>
      </c>
      <c r="Q87" s="14">
        <v>61</v>
      </c>
      <c r="R87" s="14">
        <v>245</v>
      </c>
      <c r="S87" s="14"/>
      <c r="T87" s="109"/>
      <c r="U87" s="23"/>
      <c r="V87" s="67"/>
      <c r="W87" s="15" t="s">
        <v>39</v>
      </c>
      <c r="X87" s="24">
        <v>202</v>
      </c>
      <c r="Y87" s="62">
        <v>112</v>
      </c>
      <c r="Z87" s="78">
        <f t="shared" ref="Z87:Z96" si="36">Y87/X87</f>
        <v>0.5544554455445545</v>
      </c>
      <c r="AA87" s="6" t="s">
        <v>183</v>
      </c>
    </row>
    <row r="88" spans="1:27" ht="12.5" x14ac:dyDescent="0.25">
      <c r="A88" s="27" t="s">
        <v>184</v>
      </c>
      <c r="B88" s="14" t="s">
        <v>185</v>
      </c>
      <c r="C88" s="14" t="s">
        <v>186</v>
      </c>
      <c r="D88" s="14" t="s">
        <v>187</v>
      </c>
      <c r="E88" s="14" t="s">
        <v>38</v>
      </c>
      <c r="F88" s="14">
        <v>10</v>
      </c>
      <c r="G88" s="14">
        <v>1100</v>
      </c>
      <c r="H88" s="14">
        <v>1.36</v>
      </c>
      <c r="I88" s="14">
        <v>3.78</v>
      </c>
      <c r="J88" s="14">
        <v>57.975000000000001</v>
      </c>
      <c r="K88" s="14"/>
      <c r="L88" s="14"/>
      <c r="M88" s="14"/>
      <c r="N88" s="14"/>
      <c r="O88" s="32">
        <v>50</v>
      </c>
      <c r="P88" s="14">
        <v>2.8</v>
      </c>
      <c r="Q88" s="14"/>
      <c r="T88" s="109"/>
      <c r="U88" s="23"/>
      <c r="V88" s="67"/>
      <c r="W88" s="15" t="s">
        <v>39</v>
      </c>
      <c r="X88" s="7">
        <v>230</v>
      </c>
      <c r="Y88" s="36">
        <v>154</v>
      </c>
      <c r="Z88" s="77">
        <f t="shared" si="36"/>
        <v>0.66956521739130437</v>
      </c>
      <c r="AA88" s="6" t="s">
        <v>188</v>
      </c>
    </row>
    <row r="89" spans="1:27" ht="12.5" x14ac:dyDescent="0.25">
      <c r="A89" s="28" t="s">
        <v>189</v>
      </c>
      <c r="B89" s="14" t="s">
        <v>185</v>
      </c>
      <c r="C89" s="14" t="s">
        <v>186</v>
      </c>
      <c r="D89" s="14" t="s">
        <v>187</v>
      </c>
      <c r="E89" s="14" t="s">
        <v>38</v>
      </c>
      <c r="F89" s="14">
        <v>10</v>
      </c>
      <c r="G89" s="14">
        <v>1200</v>
      </c>
      <c r="H89" s="14">
        <v>1.35</v>
      </c>
      <c r="I89" s="14">
        <v>3.84</v>
      </c>
      <c r="J89" s="14">
        <v>22.167999999999999</v>
      </c>
      <c r="K89" s="14"/>
      <c r="L89" s="14"/>
      <c r="M89" s="14"/>
      <c r="N89" s="14"/>
      <c r="O89" s="32">
        <v>50</v>
      </c>
      <c r="P89" s="14">
        <v>2.8</v>
      </c>
      <c r="Q89" s="14">
        <v>88</v>
      </c>
      <c r="R89" s="14">
        <v>292.3</v>
      </c>
      <c r="S89" s="14"/>
      <c r="T89" s="109"/>
      <c r="U89" s="23"/>
      <c r="V89" s="67"/>
      <c r="X89" s="24">
        <v>281.2</v>
      </c>
      <c r="Y89" s="18">
        <v>183.4</v>
      </c>
      <c r="Z89" s="79">
        <f t="shared" si="36"/>
        <v>0.65220483641536275</v>
      </c>
      <c r="AA89" s="6" t="s">
        <v>188</v>
      </c>
    </row>
    <row r="90" spans="1:27" ht="12.5" x14ac:dyDescent="0.25">
      <c r="A90" s="28" t="s">
        <v>190</v>
      </c>
      <c r="B90" s="14" t="s">
        <v>185</v>
      </c>
      <c r="C90" s="14" t="s">
        <v>186</v>
      </c>
      <c r="D90" s="14" t="s">
        <v>187</v>
      </c>
      <c r="E90" s="14" t="s">
        <v>38</v>
      </c>
      <c r="F90" s="14">
        <v>10</v>
      </c>
      <c r="G90" s="14">
        <v>1300</v>
      </c>
      <c r="H90" s="14">
        <v>1.33</v>
      </c>
      <c r="I90" s="14">
        <v>3.86</v>
      </c>
      <c r="J90" s="14">
        <v>20.042999999999999</v>
      </c>
      <c r="K90" s="14"/>
      <c r="L90" s="14"/>
      <c r="M90" s="14"/>
      <c r="N90" s="14"/>
      <c r="O90" s="32">
        <v>50</v>
      </c>
      <c r="P90" s="14">
        <v>2.8</v>
      </c>
      <c r="Q90" s="14"/>
      <c r="T90" s="109"/>
      <c r="U90" s="23"/>
      <c r="V90" s="67"/>
      <c r="X90" s="7">
        <v>280</v>
      </c>
      <c r="Y90" s="36">
        <v>165</v>
      </c>
      <c r="Z90" s="77">
        <f t="shared" si="36"/>
        <v>0.5892857142857143</v>
      </c>
      <c r="AA90" s="6" t="s">
        <v>188</v>
      </c>
    </row>
    <row r="91" spans="1:27" ht="13" thickBot="1" x14ac:dyDescent="0.3">
      <c r="A91" s="29" t="s">
        <v>191</v>
      </c>
      <c r="B91" s="14" t="s">
        <v>185</v>
      </c>
      <c r="C91" s="14" t="s">
        <v>186</v>
      </c>
      <c r="D91" s="14" t="s">
        <v>187</v>
      </c>
      <c r="E91" s="14" t="s">
        <v>38</v>
      </c>
      <c r="F91" s="14">
        <v>10</v>
      </c>
      <c r="G91" s="14">
        <v>1400</v>
      </c>
      <c r="H91" s="14">
        <v>1.17</v>
      </c>
      <c r="I91" s="14">
        <v>3.86</v>
      </c>
      <c r="J91" s="14">
        <v>18.966000000000001</v>
      </c>
      <c r="K91" s="14"/>
      <c r="L91" s="14"/>
      <c r="M91" s="14"/>
      <c r="N91" s="14"/>
      <c r="O91" s="32">
        <v>50</v>
      </c>
      <c r="P91" s="14">
        <v>2.8</v>
      </c>
      <c r="Q91" s="14"/>
      <c r="T91" s="109"/>
      <c r="U91" s="23"/>
      <c r="V91" s="67"/>
      <c r="X91" s="7">
        <v>274</v>
      </c>
      <c r="Y91" s="36">
        <v>179</v>
      </c>
      <c r="Z91" s="77">
        <f t="shared" si="36"/>
        <v>0.65328467153284675</v>
      </c>
      <c r="AA91" s="6" t="s">
        <v>188</v>
      </c>
    </row>
    <row r="92" spans="1:27" ht="12.5" x14ac:dyDescent="0.25">
      <c r="A92" s="27" t="s">
        <v>192</v>
      </c>
      <c r="B92" s="14" t="s">
        <v>53</v>
      </c>
      <c r="C92" s="14" t="s">
        <v>54</v>
      </c>
      <c r="D92" s="14" t="s">
        <v>193</v>
      </c>
      <c r="E92" s="35" t="s">
        <v>56</v>
      </c>
      <c r="F92" s="14">
        <v>10</v>
      </c>
      <c r="G92" s="14">
        <v>800</v>
      </c>
      <c r="H92" s="14">
        <v>1.87</v>
      </c>
      <c r="I92" s="14">
        <v>3.91</v>
      </c>
      <c r="J92" s="14">
        <v>76.67</v>
      </c>
      <c r="K92" s="14">
        <v>6.7000000000000004E-2</v>
      </c>
      <c r="L92" s="14">
        <v>5.34</v>
      </c>
      <c r="M92" s="14">
        <v>1.56</v>
      </c>
      <c r="N92" s="14">
        <v>0.71</v>
      </c>
      <c r="O92" s="14">
        <v>50</v>
      </c>
      <c r="P92" s="23">
        <v>3</v>
      </c>
      <c r="Q92" s="14">
        <v>59.8</v>
      </c>
      <c r="R92" s="23">
        <v>292</v>
      </c>
      <c r="S92" s="17">
        <f>R92-U92</f>
        <v>199</v>
      </c>
      <c r="T92" s="110">
        <f>S92/R92</f>
        <v>0.68150684931506844</v>
      </c>
      <c r="U92" s="17">
        <v>93</v>
      </c>
      <c r="V92" s="68">
        <f>U92/R92</f>
        <v>0.3184931506849315</v>
      </c>
      <c r="W92" s="15" t="s">
        <v>39</v>
      </c>
      <c r="X92" s="7">
        <v>235</v>
      </c>
      <c r="Y92" s="36">
        <v>102</v>
      </c>
      <c r="Z92" s="77">
        <f t="shared" si="36"/>
        <v>0.43404255319148938</v>
      </c>
      <c r="AA92" s="6" t="s">
        <v>194</v>
      </c>
    </row>
    <row r="93" spans="1:27" ht="12.5" x14ac:dyDescent="0.25">
      <c r="A93" s="28" t="s">
        <v>195</v>
      </c>
      <c r="B93" s="14" t="s">
        <v>53</v>
      </c>
      <c r="C93" s="14" t="s">
        <v>54</v>
      </c>
      <c r="D93" s="14" t="s">
        <v>193</v>
      </c>
      <c r="E93" s="35" t="s">
        <v>56</v>
      </c>
      <c r="F93" s="14">
        <v>10</v>
      </c>
      <c r="G93" s="14">
        <v>900</v>
      </c>
      <c r="H93" s="14">
        <v>1.82</v>
      </c>
      <c r="I93" s="14">
        <v>3.87</v>
      </c>
      <c r="J93" s="14">
        <v>147.16</v>
      </c>
      <c r="K93" s="14">
        <v>7.1999999999999995E-2</v>
      </c>
      <c r="L93" s="14">
        <v>5.0199999999999996</v>
      </c>
      <c r="M93" s="14">
        <v>1.63</v>
      </c>
      <c r="N93" s="14">
        <v>0.75</v>
      </c>
      <c r="O93" s="14">
        <v>50</v>
      </c>
      <c r="P93" s="23">
        <v>3</v>
      </c>
      <c r="Q93" s="14">
        <v>63.1</v>
      </c>
      <c r="R93" s="14">
        <v>310.10000000000002</v>
      </c>
      <c r="S93" s="17">
        <f t="shared" ref="S93:S100" si="37">R93-U93</f>
        <v>217.10000000000002</v>
      </c>
      <c r="T93" s="110">
        <f t="shared" ref="T93:T100" si="38">S93/R93</f>
        <v>0.70009674298613356</v>
      </c>
      <c r="U93" s="17">
        <v>93</v>
      </c>
      <c r="V93" s="68">
        <f t="shared" ref="V93:V100" si="39">U93/R93</f>
        <v>0.2999032570138665</v>
      </c>
      <c r="X93" s="7">
        <v>249</v>
      </c>
      <c r="Y93" s="36">
        <v>134</v>
      </c>
      <c r="Z93" s="77">
        <f t="shared" si="36"/>
        <v>0.5381526104417671</v>
      </c>
      <c r="AA93" s="6" t="s">
        <v>194</v>
      </c>
    </row>
    <row r="94" spans="1:27" ht="12.5" x14ac:dyDescent="0.25">
      <c r="A94" s="28" t="s">
        <v>196</v>
      </c>
      <c r="B94" s="14" t="s">
        <v>53</v>
      </c>
      <c r="C94" s="14" t="s">
        <v>54</v>
      </c>
      <c r="D94" s="14" t="s">
        <v>193</v>
      </c>
      <c r="E94" s="35" t="s">
        <v>56</v>
      </c>
      <c r="F94" s="14">
        <v>10</v>
      </c>
      <c r="G94" s="14">
        <v>1000</v>
      </c>
      <c r="H94" s="14">
        <v>1.69</v>
      </c>
      <c r="I94" s="14">
        <v>3.83</v>
      </c>
      <c r="J94" s="14">
        <v>253.46</v>
      </c>
      <c r="K94" s="14">
        <v>0.11</v>
      </c>
      <c r="L94" s="14">
        <v>4.84</v>
      </c>
      <c r="M94" s="14">
        <v>1.76</v>
      </c>
      <c r="N94" s="22">
        <v>0.8</v>
      </c>
      <c r="O94" s="14">
        <v>50</v>
      </c>
      <c r="P94" s="23">
        <v>3</v>
      </c>
      <c r="Q94" s="14">
        <v>64.900000000000006</v>
      </c>
      <c r="R94" s="14">
        <v>337.9</v>
      </c>
      <c r="S94" s="17">
        <f t="shared" si="37"/>
        <v>194.89999999999998</v>
      </c>
      <c r="T94" s="110">
        <f t="shared" si="38"/>
        <v>0.57679786919206866</v>
      </c>
      <c r="U94" s="17">
        <v>143</v>
      </c>
      <c r="V94" s="68">
        <f t="shared" si="39"/>
        <v>0.42320213080793134</v>
      </c>
      <c r="X94" s="24">
        <v>264.60000000000002</v>
      </c>
      <c r="Y94" s="18">
        <v>149.5</v>
      </c>
      <c r="Z94" s="78">
        <f t="shared" si="36"/>
        <v>0.56500377928949352</v>
      </c>
      <c r="AA94" s="6" t="s">
        <v>194</v>
      </c>
    </row>
    <row r="95" spans="1:27" ht="12.5" x14ac:dyDescent="0.25">
      <c r="A95" s="28" t="s">
        <v>197</v>
      </c>
      <c r="B95" s="14" t="s">
        <v>53</v>
      </c>
      <c r="C95" s="14" t="s">
        <v>54</v>
      </c>
      <c r="D95" s="14" t="s">
        <v>193</v>
      </c>
      <c r="E95" s="35" t="s">
        <v>56</v>
      </c>
      <c r="F95" s="14">
        <v>10</v>
      </c>
      <c r="G95" s="14">
        <v>1100</v>
      </c>
      <c r="H95" s="14">
        <v>1.65</v>
      </c>
      <c r="I95" s="14">
        <v>3.8</v>
      </c>
      <c r="J95" s="14">
        <v>312.63</v>
      </c>
      <c r="K95" s="14">
        <v>0.114</v>
      </c>
      <c r="L95" s="14">
        <v>4.8899999999999997</v>
      </c>
      <c r="M95" s="14">
        <v>1.98</v>
      </c>
      <c r="N95" s="14">
        <v>0.97</v>
      </c>
      <c r="O95" s="14">
        <v>50</v>
      </c>
      <c r="P95" s="23">
        <v>3</v>
      </c>
      <c r="Q95" s="14">
        <v>62.2</v>
      </c>
      <c r="R95" s="14">
        <v>281.2</v>
      </c>
      <c r="S95" s="17">
        <f t="shared" si="37"/>
        <v>173.2</v>
      </c>
      <c r="T95" s="110">
        <f t="shared" si="38"/>
        <v>0.61593172119487904</v>
      </c>
      <c r="U95" s="17">
        <v>108</v>
      </c>
      <c r="V95" s="68">
        <f t="shared" si="39"/>
        <v>0.3840682788051209</v>
      </c>
      <c r="X95" s="7">
        <v>224</v>
      </c>
      <c r="Y95" s="36">
        <v>75</v>
      </c>
      <c r="Z95" s="77">
        <f t="shared" si="36"/>
        <v>0.33482142857142855</v>
      </c>
      <c r="AA95" s="6" t="s">
        <v>194</v>
      </c>
    </row>
    <row r="96" spans="1:27" ht="13" thickBot="1" x14ac:dyDescent="0.3">
      <c r="A96" s="29" t="s">
        <v>198</v>
      </c>
      <c r="B96" s="14" t="s">
        <v>53</v>
      </c>
      <c r="C96" s="14" t="s">
        <v>54</v>
      </c>
      <c r="D96" s="14" t="s">
        <v>193</v>
      </c>
      <c r="E96" s="35" t="s">
        <v>56</v>
      </c>
      <c r="F96" s="14">
        <v>10</v>
      </c>
      <c r="G96" s="14">
        <v>1000</v>
      </c>
      <c r="H96" s="14">
        <v>1.05</v>
      </c>
      <c r="I96" s="14">
        <v>3.69</v>
      </c>
      <c r="J96" s="14">
        <v>1988.9</v>
      </c>
      <c r="K96" s="14">
        <v>1.63</v>
      </c>
      <c r="L96" s="14">
        <v>3.82</v>
      </c>
      <c r="M96" s="14">
        <v>1.85</v>
      </c>
      <c r="N96" s="14">
        <v>0.69</v>
      </c>
      <c r="O96" s="32">
        <v>50</v>
      </c>
      <c r="P96" s="23">
        <v>3</v>
      </c>
      <c r="Q96" s="14">
        <v>37.299999999999997</v>
      </c>
      <c r="R96" s="14">
        <v>458.6</v>
      </c>
      <c r="S96" s="17">
        <f t="shared" si="37"/>
        <v>442.6</v>
      </c>
      <c r="T96" s="110">
        <f t="shared" si="38"/>
        <v>0.96511120802442218</v>
      </c>
      <c r="U96" s="17">
        <v>16</v>
      </c>
      <c r="V96" s="68">
        <f t="shared" si="39"/>
        <v>3.4888791975577843E-2</v>
      </c>
      <c r="X96" s="24">
        <v>305.5</v>
      </c>
      <c r="Y96" s="18">
        <v>192</v>
      </c>
      <c r="Z96" s="78">
        <f t="shared" si="36"/>
        <v>0.62847790507364976</v>
      </c>
      <c r="AA96" s="6" t="s">
        <v>194</v>
      </c>
    </row>
    <row r="97" spans="1:27" ht="12.5" x14ac:dyDescent="0.25">
      <c r="A97" s="27" t="s">
        <v>199</v>
      </c>
      <c r="B97" s="14" t="s">
        <v>45</v>
      </c>
      <c r="C97" s="14" t="s">
        <v>54</v>
      </c>
      <c r="D97" s="14" t="s">
        <v>200</v>
      </c>
      <c r="E97" s="35" t="s">
        <v>56</v>
      </c>
      <c r="F97" s="14">
        <v>10</v>
      </c>
      <c r="G97" s="14">
        <v>1000</v>
      </c>
      <c r="I97" s="14">
        <v>3.91</v>
      </c>
      <c r="J97" s="14">
        <v>5.8049999999999997</v>
      </c>
      <c r="K97" s="14"/>
      <c r="L97" s="14"/>
      <c r="M97" s="14"/>
      <c r="N97" s="14"/>
      <c r="O97" s="32">
        <v>30</v>
      </c>
      <c r="P97" s="23">
        <v>2.5</v>
      </c>
      <c r="Q97" s="14">
        <v>64</v>
      </c>
      <c r="R97" s="14">
        <v>214.9</v>
      </c>
      <c r="S97" s="32">
        <f t="shared" si="37"/>
        <v>128.80000000000001</v>
      </c>
      <c r="T97" s="109">
        <f t="shared" si="38"/>
        <v>0.59934853420195444</v>
      </c>
      <c r="U97" s="32">
        <v>86.1</v>
      </c>
      <c r="V97" s="67">
        <f t="shared" si="39"/>
        <v>0.40065146579804556</v>
      </c>
      <c r="W97" s="15" t="s">
        <v>74</v>
      </c>
      <c r="X97" s="24"/>
      <c r="Y97" s="18"/>
      <c r="Z97" s="78"/>
      <c r="AA97" s="6" t="s">
        <v>201</v>
      </c>
    </row>
    <row r="98" spans="1:27" ht="12.5" x14ac:dyDescent="0.25">
      <c r="A98" s="28" t="s">
        <v>202</v>
      </c>
      <c r="B98" s="14" t="s">
        <v>45</v>
      </c>
      <c r="C98" s="14" t="s">
        <v>54</v>
      </c>
      <c r="D98" s="14" t="s">
        <v>200</v>
      </c>
      <c r="E98" s="35" t="s">
        <v>56</v>
      </c>
      <c r="F98" s="14">
        <v>10</v>
      </c>
      <c r="G98" s="14">
        <v>1200</v>
      </c>
      <c r="I98" s="14">
        <v>3.87</v>
      </c>
      <c r="J98" s="14">
        <v>3.9119999999999999</v>
      </c>
      <c r="K98" s="14"/>
      <c r="L98" s="14"/>
      <c r="M98" s="14"/>
      <c r="N98" s="14"/>
      <c r="O98" s="32">
        <v>30</v>
      </c>
      <c r="P98" s="23">
        <v>2.5</v>
      </c>
      <c r="Q98" s="14">
        <v>68</v>
      </c>
      <c r="R98" s="14">
        <v>264.89999999999998</v>
      </c>
      <c r="S98" s="32">
        <f t="shared" si="37"/>
        <v>130.39999999999998</v>
      </c>
      <c r="T98" s="109">
        <f t="shared" si="38"/>
        <v>0.49226123065307659</v>
      </c>
      <c r="U98" s="32">
        <v>134.5</v>
      </c>
      <c r="V98" s="67">
        <f t="shared" si="39"/>
        <v>0.50773876934692341</v>
      </c>
      <c r="X98" s="24"/>
      <c r="Y98" s="18"/>
      <c r="Z98" s="79"/>
      <c r="AA98" s="6" t="s">
        <v>201</v>
      </c>
    </row>
    <row r="99" spans="1:27" ht="12.5" x14ac:dyDescent="0.25">
      <c r="A99" s="28" t="s">
        <v>203</v>
      </c>
      <c r="B99" s="14" t="s">
        <v>45</v>
      </c>
      <c r="C99" s="14" t="s">
        <v>54</v>
      </c>
      <c r="D99" s="14" t="s">
        <v>200</v>
      </c>
      <c r="E99" s="35" t="s">
        <v>56</v>
      </c>
      <c r="F99" s="14">
        <v>10</v>
      </c>
      <c r="G99" s="14">
        <v>1400</v>
      </c>
      <c r="I99" s="14">
        <v>3.76</v>
      </c>
      <c r="J99" s="14">
        <v>3.367</v>
      </c>
      <c r="K99" s="14"/>
      <c r="L99" s="14"/>
      <c r="M99" s="14"/>
      <c r="N99" s="14"/>
      <c r="O99" s="32">
        <v>30</v>
      </c>
      <c r="P99" s="23">
        <v>2.5</v>
      </c>
      <c r="Q99" s="14">
        <v>69</v>
      </c>
      <c r="R99" s="14">
        <v>319.60000000000002</v>
      </c>
      <c r="S99" s="32">
        <f t="shared" si="37"/>
        <v>134.60000000000002</v>
      </c>
      <c r="T99" s="109">
        <f t="shared" si="38"/>
        <v>0.42115143929912396</v>
      </c>
      <c r="U99" s="32">
        <v>185</v>
      </c>
      <c r="V99" s="67">
        <f t="shared" si="39"/>
        <v>0.57884856070087609</v>
      </c>
      <c r="X99" s="24"/>
      <c r="Y99" s="18"/>
      <c r="Z99" s="79"/>
      <c r="AA99" s="6" t="s">
        <v>201</v>
      </c>
    </row>
    <row r="100" spans="1:27" ht="13" thickBot="1" x14ac:dyDescent="0.3">
      <c r="A100" s="29" t="s">
        <v>204</v>
      </c>
      <c r="B100" s="14" t="s">
        <v>45</v>
      </c>
      <c r="C100" s="14" t="s">
        <v>54</v>
      </c>
      <c r="D100" s="14" t="s">
        <v>200</v>
      </c>
      <c r="E100" s="35" t="s">
        <v>56</v>
      </c>
      <c r="F100" s="14">
        <v>10</v>
      </c>
      <c r="G100" s="14">
        <v>1600</v>
      </c>
      <c r="I100" s="14">
        <v>3.63</v>
      </c>
      <c r="J100" s="14">
        <v>1.7150000000000001</v>
      </c>
      <c r="K100" s="14"/>
      <c r="L100" s="14"/>
      <c r="M100" s="14"/>
      <c r="N100" s="14"/>
      <c r="O100" s="32">
        <v>30</v>
      </c>
      <c r="P100" s="23">
        <v>2.5</v>
      </c>
      <c r="Q100" s="14">
        <v>70</v>
      </c>
      <c r="R100" s="14">
        <v>217.8</v>
      </c>
      <c r="S100" s="32">
        <f t="shared" si="37"/>
        <v>79.5</v>
      </c>
      <c r="T100" s="109">
        <f t="shared" si="38"/>
        <v>0.36501377410468316</v>
      </c>
      <c r="U100" s="32">
        <v>138.30000000000001</v>
      </c>
      <c r="V100" s="67">
        <f t="shared" si="39"/>
        <v>0.63498622589531684</v>
      </c>
      <c r="X100" s="24"/>
      <c r="Y100" s="18"/>
      <c r="Z100" s="79"/>
      <c r="AA100" s="6" t="s">
        <v>201</v>
      </c>
    </row>
    <row r="101" spans="1:27" ht="12.5" x14ac:dyDescent="0.25">
      <c r="A101" s="27" t="s">
        <v>205</v>
      </c>
      <c r="B101" s="14" t="s">
        <v>45</v>
      </c>
      <c r="C101" s="14" t="s">
        <v>206</v>
      </c>
      <c r="D101" s="14" t="s">
        <v>207</v>
      </c>
      <c r="E101" s="35" t="s">
        <v>56</v>
      </c>
      <c r="F101" s="14">
        <v>10</v>
      </c>
      <c r="G101" s="14">
        <v>900</v>
      </c>
      <c r="H101">
        <v>0.97</v>
      </c>
      <c r="I101" s="14">
        <v>4.07</v>
      </c>
      <c r="J101" s="14">
        <v>126.03</v>
      </c>
      <c r="O101" s="32">
        <v>50</v>
      </c>
      <c r="P101" s="23">
        <v>2.5</v>
      </c>
      <c r="Q101" s="22">
        <v>59.1</v>
      </c>
      <c r="R101">
        <v>159.4</v>
      </c>
      <c r="T101" s="109"/>
      <c r="U101" s="23"/>
      <c r="V101" s="67"/>
      <c r="W101" s="33" t="s">
        <v>39</v>
      </c>
      <c r="X101" s="24"/>
      <c r="Y101" s="18"/>
      <c r="Z101" s="79"/>
      <c r="AA101" s="31" t="s">
        <v>208</v>
      </c>
    </row>
    <row r="102" spans="1:27" ht="13" thickBot="1" x14ac:dyDescent="0.3">
      <c r="A102" s="29" t="s">
        <v>209</v>
      </c>
      <c r="B102" s="14" t="s">
        <v>45</v>
      </c>
      <c r="C102" s="14" t="s">
        <v>206</v>
      </c>
      <c r="D102" s="14" t="s">
        <v>207</v>
      </c>
      <c r="E102" s="35" t="s">
        <v>56</v>
      </c>
      <c r="F102" s="14">
        <v>10</v>
      </c>
      <c r="G102" s="14">
        <v>1100</v>
      </c>
      <c r="H102">
        <v>0.96</v>
      </c>
      <c r="I102" s="14">
        <v>3.95</v>
      </c>
      <c r="J102" s="14">
        <v>89.79</v>
      </c>
      <c r="O102" s="32">
        <v>50</v>
      </c>
      <c r="P102" s="23">
        <v>2.5</v>
      </c>
      <c r="Q102" s="14">
        <v>60.78</v>
      </c>
      <c r="R102">
        <v>304.3</v>
      </c>
      <c r="T102" s="109"/>
      <c r="U102" s="23"/>
      <c r="V102" s="67"/>
      <c r="X102" s="7">
        <v>304</v>
      </c>
      <c r="Y102" s="36">
        <v>104</v>
      </c>
      <c r="Z102" s="77">
        <f>Y102/X102</f>
        <v>0.34210526315789475</v>
      </c>
      <c r="AA102" s="31" t="s">
        <v>208</v>
      </c>
    </row>
    <row r="103" spans="1:27" ht="12.5" x14ac:dyDescent="0.25">
      <c r="A103" s="27" t="s">
        <v>210</v>
      </c>
      <c r="B103" s="14" t="s">
        <v>158</v>
      </c>
      <c r="C103" s="14" t="s">
        <v>36</v>
      </c>
      <c r="D103" s="14" t="s">
        <v>37</v>
      </c>
      <c r="E103" s="35" t="s">
        <v>211</v>
      </c>
      <c r="F103" s="14">
        <v>0</v>
      </c>
      <c r="G103" s="14">
        <v>700</v>
      </c>
      <c r="H103">
        <v>0.88</v>
      </c>
      <c r="I103" s="10">
        <v>4.07</v>
      </c>
      <c r="J103" s="14">
        <v>465</v>
      </c>
      <c r="L103" s="10">
        <v>0.63</v>
      </c>
      <c r="N103" s="10">
        <v>0.74</v>
      </c>
      <c r="O103" s="32">
        <v>25</v>
      </c>
      <c r="P103" s="23">
        <v>2</v>
      </c>
      <c r="Q103" s="10">
        <v>62</v>
      </c>
      <c r="R103" s="10">
        <v>248</v>
      </c>
      <c r="S103" s="17">
        <f>R103-U103</f>
        <v>200</v>
      </c>
      <c r="T103" s="110">
        <f>S103/R103</f>
        <v>0.80645161290322576</v>
      </c>
      <c r="U103" s="17">
        <v>48</v>
      </c>
      <c r="V103" s="68">
        <f>U103/R103</f>
        <v>0.19354838709677419</v>
      </c>
      <c r="W103" s="33" t="s">
        <v>74</v>
      </c>
      <c r="X103" s="24"/>
      <c r="Y103" s="18"/>
      <c r="Z103" s="79"/>
      <c r="AA103" s="31" t="s">
        <v>212</v>
      </c>
    </row>
    <row r="104" spans="1:27" ht="12.5" x14ac:dyDescent="0.25">
      <c r="A104" s="28" t="s">
        <v>213</v>
      </c>
      <c r="B104" s="14" t="s">
        <v>158</v>
      </c>
      <c r="C104" s="14" t="s">
        <v>36</v>
      </c>
      <c r="D104" s="14" t="s">
        <v>37</v>
      </c>
      <c r="E104" s="35" t="s">
        <v>211</v>
      </c>
      <c r="F104" s="14">
        <v>0</v>
      </c>
      <c r="G104" s="14">
        <v>900</v>
      </c>
      <c r="H104" s="10">
        <v>1.03</v>
      </c>
      <c r="I104" s="10">
        <v>4.03</v>
      </c>
      <c r="J104" s="14">
        <v>323</v>
      </c>
      <c r="L104" s="10">
        <v>0.77</v>
      </c>
      <c r="N104" s="19">
        <v>0.76</v>
      </c>
      <c r="O104" s="32">
        <v>25</v>
      </c>
      <c r="P104" s="23">
        <v>2</v>
      </c>
      <c r="Q104" s="10">
        <v>69</v>
      </c>
      <c r="R104" s="10">
        <v>298</v>
      </c>
      <c r="S104" s="17">
        <f t="shared" ref="S104:S117" si="40">R104-U104</f>
        <v>220</v>
      </c>
      <c r="T104" s="110">
        <f t="shared" ref="T104:T124" si="41">S104/R104</f>
        <v>0.73825503355704702</v>
      </c>
      <c r="U104" s="17">
        <v>78</v>
      </c>
      <c r="V104" s="68">
        <f t="shared" ref="V104:V124" si="42">U104/R104</f>
        <v>0.26174496644295303</v>
      </c>
      <c r="X104" s="24"/>
      <c r="Y104" s="18"/>
      <c r="Z104" s="79"/>
      <c r="AA104" s="31" t="s">
        <v>212</v>
      </c>
    </row>
    <row r="105" spans="1:27" ht="12.5" x14ac:dyDescent="0.25">
      <c r="A105" s="28" t="s">
        <v>214</v>
      </c>
      <c r="B105" s="14" t="s">
        <v>158</v>
      </c>
      <c r="C105" s="14" t="s">
        <v>36</v>
      </c>
      <c r="D105" s="14" t="s">
        <v>37</v>
      </c>
      <c r="E105" s="35" t="s">
        <v>211</v>
      </c>
      <c r="F105" s="14">
        <v>0</v>
      </c>
      <c r="G105" s="14">
        <v>1100</v>
      </c>
      <c r="H105" s="10">
        <v>1.05</v>
      </c>
      <c r="I105" s="10">
        <v>4.07</v>
      </c>
      <c r="J105" s="14">
        <v>54.7</v>
      </c>
      <c r="L105" s="10">
        <v>0.93</v>
      </c>
      <c r="N105" s="19">
        <v>0.7</v>
      </c>
      <c r="O105" s="32">
        <v>25</v>
      </c>
      <c r="P105" s="23">
        <v>2</v>
      </c>
      <c r="Q105" s="10">
        <v>74</v>
      </c>
      <c r="R105" s="10">
        <v>272</v>
      </c>
      <c r="S105" s="17">
        <f t="shared" si="40"/>
        <v>177</v>
      </c>
      <c r="T105" s="110">
        <f t="shared" si="41"/>
        <v>0.65073529411764708</v>
      </c>
      <c r="U105" s="17">
        <v>95</v>
      </c>
      <c r="V105" s="68">
        <f t="shared" si="42"/>
        <v>0.34926470588235292</v>
      </c>
      <c r="X105" s="24"/>
      <c r="Y105" s="18"/>
      <c r="Z105" s="79"/>
      <c r="AA105" s="31" t="s">
        <v>212</v>
      </c>
    </row>
    <row r="106" spans="1:27" ht="12.5" x14ac:dyDescent="0.25">
      <c r="A106" s="28" t="s">
        <v>215</v>
      </c>
      <c r="B106" s="14" t="s">
        <v>158</v>
      </c>
      <c r="C106" s="14" t="s">
        <v>36</v>
      </c>
      <c r="D106" s="14" t="s">
        <v>37</v>
      </c>
      <c r="E106" s="35" t="s">
        <v>211</v>
      </c>
      <c r="F106" s="14">
        <v>0</v>
      </c>
      <c r="G106" s="14">
        <v>1300</v>
      </c>
      <c r="H106">
        <v>1.1599999999999999</v>
      </c>
      <c r="I106" s="10">
        <v>4.03</v>
      </c>
      <c r="J106" s="14">
        <v>24.5</v>
      </c>
      <c r="L106" s="10">
        <v>1.06</v>
      </c>
      <c r="N106" s="19">
        <v>0.72</v>
      </c>
      <c r="O106" s="32">
        <v>25</v>
      </c>
      <c r="P106" s="23">
        <v>2</v>
      </c>
      <c r="Q106" s="10">
        <v>82</v>
      </c>
      <c r="R106" s="10">
        <v>327</v>
      </c>
      <c r="S106" s="17">
        <f t="shared" si="40"/>
        <v>163</v>
      </c>
      <c r="T106" s="110">
        <f t="shared" si="41"/>
        <v>0.49847094801223241</v>
      </c>
      <c r="U106" s="17">
        <v>164</v>
      </c>
      <c r="V106" s="68">
        <f t="shared" si="42"/>
        <v>0.50152905198776754</v>
      </c>
      <c r="X106" s="24"/>
      <c r="Y106" s="18"/>
      <c r="Z106" s="79"/>
      <c r="AA106" s="31" t="s">
        <v>212</v>
      </c>
    </row>
    <row r="107" spans="1:27" ht="12.5" x14ac:dyDescent="0.25">
      <c r="A107" s="28" t="s">
        <v>216</v>
      </c>
      <c r="B107" s="14" t="s">
        <v>158</v>
      </c>
      <c r="C107" s="14" t="s">
        <v>36</v>
      </c>
      <c r="D107" s="14" t="s">
        <v>37</v>
      </c>
      <c r="E107" s="35" t="s">
        <v>211</v>
      </c>
      <c r="F107" s="14">
        <v>0</v>
      </c>
      <c r="G107" s="14">
        <v>1500</v>
      </c>
      <c r="H107" s="10">
        <v>1.19</v>
      </c>
      <c r="I107" s="10">
        <v>3.94</v>
      </c>
      <c r="J107" s="14">
        <v>26.4</v>
      </c>
      <c r="L107" s="10">
        <v>1.17</v>
      </c>
      <c r="N107" s="19">
        <v>0.81</v>
      </c>
      <c r="O107" s="32">
        <v>25</v>
      </c>
      <c r="P107" s="23">
        <v>2</v>
      </c>
      <c r="Q107" s="10">
        <v>80</v>
      </c>
      <c r="R107" s="10">
        <v>315</v>
      </c>
      <c r="S107" s="17">
        <f t="shared" si="40"/>
        <v>113</v>
      </c>
      <c r="T107" s="110">
        <f t="shared" si="41"/>
        <v>0.35873015873015873</v>
      </c>
      <c r="U107" s="17">
        <v>202</v>
      </c>
      <c r="V107" s="68">
        <f t="shared" si="42"/>
        <v>0.64126984126984132</v>
      </c>
      <c r="X107" s="24"/>
      <c r="Y107" s="18"/>
      <c r="Z107" s="79"/>
      <c r="AA107" s="31" t="s">
        <v>212</v>
      </c>
    </row>
    <row r="108" spans="1:27" ht="12.5" x14ac:dyDescent="0.25">
      <c r="A108" s="28" t="s">
        <v>217</v>
      </c>
      <c r="B108" s="14" t="s">
        <v>158</v>
      </c>
      <c r="C108" s="14" t="s">
        <v>36</v>
      </c>
      <c r="D108" s="14" t="s">
        <v>37</v>
      </c>
      <c r="E108" s="35" t="s">
        <v>211</v>
      </c>
      <c r="F108" s="14">
        <v>0</v>
      </c>
      <c r="G108" s="14">
        <v>1600</v>
      </c>
      <c r="H108" s="10">
        <v>1.27</v>
      </c>
      <c r="I108" s="10">
        <v>3.86</v>
      </c>
      <c r="J108" s="14"/>
      <c r="L108" s="10">
        <v>1.1499999999999999</v>
      </c>
      <c r="N108" s="19">
        <v>1.01</v>
      </c>
      <c r="O108" s="32">
        <v>25</v>
      </c>
      <c r="P108" s="23">
        <v>2</v>
      </c>
      <c r="Q108" s="10">
        <v>74</v>
      </c>
      <c r="R108" s="10">
        <v>312</v>
      </c>
      <c r="S108" s="17">
        <f t="shared" si="40"/>
        <v>111</v>
      </c>
      <c r="T108" s="110">
        <f t="shared" si="41"/>
        <v>0.35576923076923078</v>
      </c>
      <c r="U108" s="17">
        <v>201</v>
      </c>
      <c r="V108" s="68">
        <f t="shared" si="42"/>
        <v>0.64423076923076927</v>
      </c>
      <c r="X108" s="24"/>
      <c r="Y108" s="18"/>
      <c r="Z108" s="79"/>
      <c r="AA108" s="31" t="s">
        <v>212</v>
      </c>
    </row>
    <row r="109" spans="1:27" ht="12.5" x14ac:dyDescent="0.25">
      <c r="A109" s="28" t="s">
        <v>218</v>
      </c>
      <c r="B109" s="14" t="s">
        <v>158</v>
      </c>
      <c r="C109" s="14" t="s">
        <v>36</v>
      </c>
      <c r="D109" s="14" t="s">
        <v>37</v>
      </c>
      <c r="E109" s="35" t="s">
        <v>211</v>
      </c>
      <c r="F109" s="14">
        <v>0</v>
      </c>
      <c r="G109" s="14">
        <v>1800</v>
      </c>
      <c r="H109" s="10">
        <v>1.57</v>
      </c>
      <c r="I109" s="19">
        <v>3.7</v>
      </c>
      <c r="J109" s="14">
        <v>26.3</v>
      </c>
      <c r="L109" s="10">
        <v>1.48</v>
      </c>
      <c r="N109" s="19">
        <v>1.19</v>
      </c>
      <c r="O109" s="32">
        <v>25</v>
      </c>
      <c r="P109" s="23">
        <v>2</v>
      </c>
      <c r="Q109" s="10">
        <v>82</v>
      </c>
      <c r="R109" s="10">
        <v>301</v>
      </c>
      <c r="S109" s="17">
        <f t="shared" si="40"/>
        <v>81</v>
      </c>
      <c r="T109" s="110">
        <f t="shared" si="41"/>
        <v>0.26910299003322258</v>
      </c>
      <c r="U109" s="17">
        <v>220</v>
      </c>
      <c r="V109" s="68">
        <f t="shared" si="42"/>
        <v>0.73089700996677742</v>
      </c>
      <c r="X109" s="24"/>
      <c r="Y109" s="18"/>
      <c r="Z109" s="79"/>
      <c r="AA109" s="31" t="s">
        <v>212</v>
      </c>
    </row>
    <row r="110" spans="1:27" ht="13" thickBot="1" x14ac:dyDescent="0.3">
      <c r="A110" s="29" t="s">
        <v>219</v>
      </c>
      <c r="B110" s="14" t="s">
        <v>158</v>
      </c>
      <c r="C110" s="14" t="s">
        <v>36</v>
      </c>
      <c r="D110" s="14" t="s">
        <v>37</v>
      </c>
      <c r="E110" s="35" t="s">
        <v>211</v>
      </c>
      <c r="F110" s="14">
        <v>0</v>
      </c>
      <c r="G110" s="14">
        <v>2000</v>
      </c>
      <c r="H110">
        <v>1.66</v>
      </c>
      <c r="I110" s="10">
        <v>3.64</v>
      </c>
      <c r="J110" s="14">
        <v>10.1</v>
      </c>
      <c r="L110" s="10">
        <v>1.66</v>
      </c>
      <c r="N110" s="19">
        <v>1.34</v>
      </c>
      <c r="O110" s="32">
        <v>25</v>
      </c>
      <c r="P110" s="23">
        <v>2</v>
      </c>
      <c r="Q110" s="10">
        <v>84</v>
      </c>
      <c r="R110" s="10">
        <v>282</v>
      </c>
      <c r="S110" s="17">
        <f t="shared" si="40"/>
        <v>56</v>
      </c>
      <c r="T110" s="110">
        <f t="shared" si="41"/>
        <v>0.19858156028368795</v>
      </c>
      <c r="U110" s="17">
        <v>226</v>
      </c>
      <c r="V110" s="68">
        <f t="shared" si="42"/>
        <v>0.8014184397163121</v>
      </c>
      <c r="X110" s="24"/>
      <c r="Y110" s="18"/>
      <c r="Z110" s="79"/>
      <c r="AA110" s="31" t="s">
        <v>212</v>
      </c>
    </row>
    <row r="111" spans="1:27" ht="12.5" x14ac:dyDescent="0.25">
      <c r="A111" s="27" t="s">
        <v>220</v>
      </c>
      <c r="B111" s="14" t="s">
        <v>45</v>
      </c>
      <c r="C111" s="14" t="s">
        <v>36</v>
      </c>
      <c r="D111" s="14" t="s">
        <v>221</v>
      </c>
      <c r="E111" s="9" t="s">
        <v>263</v>
      </c>
      <c r="F111" s="14">
        <v>10</v>
      </c>
      <c r="G111" s="14">
        <v>1300</v>
      </c>
      <c r="H111" s="14">
        <v>2.57</v>
      </c>
      <c r="I111" s="14">
        <v>3.85</v>
      </c>
      <c r="J111" s="14">
        <v>23.3</v>
      </c>
      <c r="K111" s="16">
        <v>0.2</v>
      </c>
      <c r="L111" s="14">
        <v>2.12</v>
      </c>
      <c r="M111" s="14">
        <v>5.0599999999999996</v>
      </c>
      <c r="N111" s="22">
        <v>1.04</v>
      </c>
      <c r="O111" s="32">
        <v>50</v>
      </c>
      <c r="P111" s="23">
        <v>2.5</v>
      </c>
      <c r="Q111" s="14">
        <v>81.2</v>
      </c>
      <c r="R111" s="65">
        <f>S111+U111</f>
        <v>274</v>
      </c>
      <c r="S111" s="65">
        <v>91</v>
      </c>
      <c r="T111" s="112">
        <f t="shared" si="41"/>
        <v>0.33211678832116787</v>
      </c>
      <c r="U111" s="65">
        <v>183</v>
      </c>
      <c r="V111" s="70">
        <f t="shared" si="42"/>
        <v>0.66788321167883213</v>
      </c>
      <c r="W111" s="33" t="s">
        <v>39</v>
      </c>
      <c r="X111" s="7">
        <v>247</v>
      </c>
      <c r="Y111" s="36">
        <v>182</v>
      </c>
      <c r="Z111" s="77">
        <f>Y111/X111</f>
        <v>0.73684210526315785</v>
      </c>
      <c r="AA111" s="31" t="s">
        <v>222</v>
      </c>
    </row>
    <row r="112" spans="1:27" ht="12.5" x14ac:dyDescent="0.25">
      <c r="A112" s="28" t="s">
        <v>223</v>
      </c>
      <c r="B112" s="14" t="s">
        <v>45</v>
      </c>
      <c r="C112" s="14" t="s">
        <v>36</v>
      </c>
      <c r="D112" s="14" t="s">
        <v>224</v>
      </c>
      <c r="E112" s="9" t="s">
        <v>263</v>
      </c>
      <c r="F112" s="14">
        <v>10</v>
      </c>
      <c r="G112" s="14">
        <v>1300</v>
      </c>
      <c r="H112" s="14">
        <v>2.84</v>
      </c>
      <c r="I112" s="14">
        <v>3.96</v>
      </c>
      <c r="J112" s="14">
        <v>4.4800000000000004</v>
      </c>
      <c r="K112">
        <v>0.23</v>
      </c>
      <c r="L112" s="22">
        <v>1.8</v>
      </c>
      <c r="M112" s="22">
        <v>4.99</v>
      </c>
      <c r="N112" s="14">
        <v>0.83</v>
      </c>
      <c r="O112" s="32">
        <v>50</v>
      </c>
      <c r="P112" s="23">
        <v>2.5</v>
      </c>
      <c r="Q112" s="14">
        <v>88.6</v>
      </c>
      <c r="R112" s="65">
        <f>S112+U112</f>
        <v>350</v>
      </c>
      <c r="S112" s="65">
        <v>122</v>
      </c>
      <c r="T112" s="112">
        <f t="shared" si="41"/>
        <v>0.34857142857142859</v>
      </c>
      <c r="U112" s="65">
        <v>228</v>
      </c>
      <c r="V112" s="70">
        <f t="shared" si="42"/>
        <v>0.65142857142857147</v>
      </c>
      <c r="X112" s="7">
        <v>324</v>
      </c>
      <c r="Y112" s="36">
        <v>283</v>
      </c>
      <c r="Z112" s="77">
        <f t="shared" ref="Z112:Z128" si="43">Y112/X112</f>
        <v>0.87345679012345678</v>
      </c>
      <c r="AA112" s="31" t="s">
        <v>222</v>
      </c>
    </row>
    <row r="113" spans="1:27" ht="12.5" x14ac:dyDescent="0.25">
      <c r="A113" s="28" t="s">
        <v>225</v>
      </c>
      <c r="B113" s="14" t="s">
        <v>45</v>
      </c>
      <c r="C113" s="14" t="s">
        <v>36</v>
      </c>
      <c r="D113" s="14" t="s">
        <v>226</v>
      </c>
      <c r="E113" s="9" t="s">
        <v>263</v>
      </c>
      <c r="F113" s="14">
        <v>10</v>
      </c>
      <c r="G113" s="14">
        <v>1300</v>
      </c>
      <c r="H113" s="14">
        <v>2.86</v>
      </c>
      <c r="I113" s="14">
        <v>3.94</v>
      </c>
      <c r="J113" s="14">
        <v>5.21</v>
      </c>
      <c r="K113">
        <v>0.23</v>
      </c>
      <c r="L113" s="14">
        <v>1.86</v>
      </c>
      <c r="M113" s="22">
        <v>4.79</v>
      </c>
      <c r="N113" s="14">
        <v>0.94</v>
      </c>
      <c r="O113" s="32">
        <v>50</v>
      </c>
      <c r="P113" s="23">
        <v>2.5</v>
      </c>
      <c r="Q113" s="14">
        <v>87.2</v>
      </c>
      <c r="R113" s="65">
        <f t="shared" ref="R113:R115" si="44">S113+U113</f>
        <v>336</v>
      </c>
      <c r="S113" s="65">
        <v>111</v>
      </c>
      <c r="T113" s="112">
        <f t="shared" si="41"/>
        <v>0.33035714285714285</v>
      </c>
      <c r="U113" s="63">
        <v>225</v>
      </c>
      <c r="V113" s="70">
        <f t="shared" si="42"/>
        <v>0.6696428571428571</v>
      </c>
      <c r="X113" s="7">
        <v>319</v>
      </c>
      <c r="Y113" s="36">
        <v>287</v>
      </c>
      <c r="Z113" s="77">
        <f t="shared" si="43"/>
        <v>0.89968652037617558</v>
      </c>
      <c r="AA113" s="31" t="s">
        <v>222</v>
      </c>
    </row>
    <row r="114" spans="1:27" ht="12.5" x14ac:dyDescent="0.25">
      <c r="A114" s="28" t="s">
        <v>227</v>
      </c>
      <c r="B114" s="14" t="s">
        <v>45</v>
      </c>
      <c r="C114" s="14" t="s">
        <v>36</v>
      </c>
      <c r="D114" s="14" t="s">
        <v>228</v>
      </c>
      <c r="E114" s="9" t="s">
        <v>263</v>
      </c>
      <c r="F114" s="14">
        <v>10</v>
      </c>
      <c r="G114" s="14">
        <v>1300</v>
      </c>
      <c r="H114" s="14">
        <v>2.39</v>
      </c>
      <c r="I114" s="14">
        <v>3.89</v>
      </c>
      <c r="J114" s="14">
        <v>8.17</v>
      </c>
      <c r="K114">
        <v>0.22</v>
      </c>
      <c r="L114" s="14">
        <v>1.91</v>
      </c>
      <c r="M114" s="22">
        <v>5.1100000000000003</v>
      </c>
      <c r="N114" s="14">
        <v>0.96</v>
      </c>
      <c r="O114" s="32">
        <v>50</v>
      </c>
      <c r="P114" s="23">
        <v>2.5</v>
      </c>
      <c r="Q114" s="14">
        <v>82.8</v>
      </c>
      <c r="R114" s="65">
        <f t="shared" si="44"/>
        <v>315</v>
      </c>
      <c r="S114" s="65">
        <v>103</v>
      </c>
      <c r="T114" s="112">
        <f t="shared" si="41"/>
        <v>0.32698412698412699</v>
      </c>
      <c r="U114" s="63">
        <v>212</v>
      </c>
      <c r="V114" s="70">
        <f t="shared" si="42"/>
        <v>0.67301587301587307</v>
      </c>
      <c r="X114" s="7">
        <v>280</v>
      </c>
      <c r="Y114" s="36">
        <v>235</v>
      </c>
      <c r="Z114" s="77">
        <f t="shared" si="43"/>
        <v>0.8392857142857143</v>
      </c>
      <c r="AA114" s="31" t="s">
        <v>222</v>
      </c>
    </row>
    <row r="115" spans="1:27" ht="12.5" x14ac:dyDescent="0.25">
      <c r="A115" s="28" t="s">
        <v>229</v>
      </c>
      <c r="B115" s="14" t="s">
        <v>45</v>
      </c>
      <c r="C115" s="14" t="s">
        <v>36</v>
      </c>
      <c r="D115" s="14" t="s">
        <v>230</v>
      </c>
      <c r="E115" s="9" t="s">
        <v>263</v>
      </c>
      <c r="F115" s="14">
        <v>10</v>
      </c>
      <c r="G115" s="14">
        <v>1300</v>
      </c>
      <c r="H115" s="14">
        <v>2.61</v>
      </c>
      <c r="I115" s="14">
        <v>3.87</v>
      </c>
      <c r="J115" s="14">
        <v>25.43</v>
      </c>
      <c r="K115">
        <v>0.21</v>
      </c>
      <c r="L115" s="14">
        <v>2.1800000000000002</v>
      </c>
      <c r="M115" s="22">
        <v>5.84</v>
      </c>
      <c r="N115" s="14">
        <v>1.07</v>
      </c>
      <c r="O115" s="32">
        <v>50</v>
      </c>
      <c r="P115" s="23">
        <v>2.5</v>
      </c>
      <c r="Q115" s="14">
        <v>82.8</v>
      </c>
      <c r="R115" s="65">
        <f t="shared" si="44"/>
        <v>285</v>
      </c>
      <c r="S115" s="65">
        <v>110</v>
      </c>
      <c r="T115" s="112">
        <f t="shared" si="41"/>
        <v>0.38596491228070173</v>
      </c>
      <c r="U115" s="63">
        <v>175</v>
      </c>
      <c r="V115" s="70">
        <f t="shared" si="42"/>
        <v>0.61403508771929827</v>
      </c>
      <c r="X115" s="7">
        <v>258</v>
      </c>
      <c r="Y115" s="36">
        <v>167</v>
      </c>
      <c r="Z115" s="77">
        <f t="shared" si="43"/>
        <v>0.6472868217054264</v>
      </c>
      <c r="AA115" s="31" t="s">
        <v>222</v>
      </c>
    </row>
    <row r="116" spans="1:27" ht="12.5" x14ac:dyDescent="0.25">
      <c r="A116" s="28" t="s">
        <v>231</v>
      </c>
      <c r="B116" s="14" t="s">
        <v>45</v>
      </c>
      <c r="C116" s="14" t="s">
        <v>36</v>
      </c>
      <c r="D116" s="14" t="s">
        <v>232</v>
      </c>
      <c r="E116" s="9" t="s">
        <v>263</v>
      </c>
      <c r="F116" s="14">
        <v>10</v>
      </c>
      <c r="G116" s="14">
        <v>1300</v>
      </c>
      <c r="H116" s="14">
        <v>2.57</v>
      </c>
      <c r="I116" s="14">
        <v>3.85</v>
      </c>
      <c r="J116" s="14">
        <v>23.2</v>
      </c>
      <c r="K116" s="22">
        <v>0.2</v>
      </c>
      <c r="L116" s="14">
        <v>2.12</v>
      </c>
      <c r="M116" s="14">
        <v>6.69</v>
      </c>
      <c r="N116" s="14">
        <v>1.52</v>
      </c>
      <c r="O116" s="32">
        <v>50</v>
      </c>
      <c r="P116" s="23">
        <v>2.5</v>
      </c>
      <c r="Q116" s="14">
        <v>81.2</v>
      </c>
      <c r="R116" s="10">
        <v>270</v>
      </c>
      <c r="S116" s="17">
        <f t="shared" si="40"/>
        <v>125</v>
      </c>
      <c r="T116" s="110">
        <f t="shared" si="41"/>
        <v>0.46296296296296297</v>
      </c>
      <c r="U116" s="17">
        <v>145</v>
      </c>
      <c r="V116" s="68">
        <f t="shared" si="42"/>
        <v>0.53703703703703709</v>
      </c>
      <c r="X116" s="7">
        <v>248</v>
      </c>
      <c r="Y116" s="36">
        <v>182</v>
      </c>
      <c r="Z116" s="77">
        <f t="shared" si="43"/>
        <v>0.7338709677419355</v>
      </c>
      <c r="AA116" s="31" t="s">
        <v>222</v>
      </c>
    </row>
    <row r="117" spans="1:27" ht="12.5" x14ac:dyDescent="0.25">
      <c r="A117" s="28" t="s">
        <v>233</v>
      </c>
      <c r="B117" s="14" t="s">
        <v>45</v>
      </c>
      <c r="C117" s="14" t="s">
        <v>36</v>
      </c>
      <c r="D117" s="14" t="s">
        <v>232</v>
      </c>
      <c r="E117" s="9" t="s">
        <v>263</v>
      </c>
      <c r="F117" s="14">
        <v>10</v>
      </c>
      <c r="G117" s="14">
        <v>1300</v>
      </c>
      <c r="H117" s="22">
        <v>2.7</v>
      </c>
      <c r="I117" s="22">
        <v>3.9</v>
      </c>
      <c r="J117" s="14">
        <v>18.600000000000001</v>
      </c>
      <c r="K117">
        <v>0.22</v>
      </c>
      <c r="L117" s="14">
        <v>1.86</v>
      </c>
      <c r="M117" s="14">
        <v>4.76</v>
      </c>
      <c r="N117" s="14">
        <v>1.02</v>
      </c>
      <c r="O117" s="32">
        <v>50</v>
      </c>
      <c r="P117" s="23">
        <v>2.5</v>
      </c>
      <c r="Q117" s="14">
        <v>79.2</v>
      </c>
      <c r="R117" s="10">
        <v>311</v>
      </c>
      <c r="S117" s="17">
        <f t="shared" si="40"/>
        <v>142</v>
      </c>
      <c r="T117" s="110">
        <f t="shared" si="41"/>
        <v>0.45659163987138263</v>
      </c>
      <c r="U117" s="17">
        <v>169</v>
      </c>
      <c r="V117" s="68">
        <f t="shared" si="42"/>
        <v>0.54340836012861737</v>
      </c>
      <c r="X117" s="7">
        <v>294</v>
      </c>
      <c r="Y117" s="36">
        <v>239</v>
      </c>
      <c r="Z117" s="77">
        <f t="shared" si="43"/>
        <v>0.81292517006802723</v>
      </c>
      <c r="AA117" s="31" t="s">
        <v>222</v>
      </c>
    </row>
    <row r="118" spans="1:27" ht="12.5" x14ac:dyDescent="0.25">
      <c r="A118" s="28" t="s">
        <v>234</v>
      </c>
      <c r="B118" s="14" t="s">
        <v>45</v>
      </c>
      <c r="C118" s="14" t="s">
        <v>36</v>
      </c>
      <c r="D118" s="14" t="s">
        <v>232</v>
      </c>
      <c r="E118" s="9" t="s">
        <v>263</v>
      </c>
      <c r="F118" s="14">
        <v>10</v>
      </c>
      <c r="G118" s="14">
        <v>1300</v>
      </c>
      <c r="H118" s="14">
        <v>2.92</v>
      </c>
      <c r="I118" s="14">
        <v>3.94</v>
      </c>
      <c r="J118" s="14">
        <v>10.3</v>
      </c>
      <c r="K118" s="14">
        <v>0.23</v>
      </c>
      <c r="L118" s="14">
        <v>1.78</v>
      </c>
      <c r="M118" s="14">
        <v>3.98</v>
      </c>
      <c r="N118" s="22">
        <v>0.6</v>
      </c>
      <c r="O118" s="32">
        <v>50</v>
      </c>
      <c r="P118" s="23">
        <v>2.5</v>
      </c>
      <c r="Q118" s="14">
        <v>85.6</v>
      </c>
      <c r="R118" s="10">
        <v>335</v>
      </c>
      <c r="S118" s="17">
        <f>R118-U118</f>
        <v>141</v>
      </c>
      <c r="T118" s="110">
        <f t="shared" si="41"/>
        <v>0.42089552238805972</v>
      </c>
      <c r="U118" s="17">
        <v>194</v>
      </c>
      <c r="V118" s="68">
        <f t="shared" si="42"/>
        <v>0.57910447761194028</v>
      </c>
      <c r="X118" s="7">
        <v>321</v>
      </c>
      <c r="Y118" s="36">
        <v>279</v>
      </c>
      <c r="Z118" s="77">
        <f t="shared" si="43"/>
        <v>0.86915887850467288</v>
      </c>
      <c r="AA118" s="31" t="s">
        <v>222</v>
      </c>
    </row>
    <row r="119" spans="1:27" ht="12.5" x14ac:dyDescent="0.25">
      <c r="A119" s="28" t="s">
        <v>235</v>
      </c>
      <c r="B119" s="14" t="s">
        <v>45</v>
      </c>
      <c r="C119" s="14" t="s">
        <v>36</v>
      </c>
      <c r="D119" s="14" t="s">
        <v>232</v>
      </c>
      <c r="E119" s="9" t="s">
        <v>263</v>
      </c>
      <c r="F119" s="14">
        <v>10</v>
      </c>
      <c r="G119" s="14">
        <v>1300</v>
      </c>
      <c r="H119">
        <v>2.83</v>
      </c>
      <c r="I119" s="14">
        <v>3.96</v>
      </c>
      <c r="J119" s="16">
        <v>7.55</v>
      </c>
      <c r="K119">
        <v>0.23</v>
      </c>
      <c r="L119" s="14">
        <v>1.72</v>
      </c>
      <c r="M119" s="14">
        <v>2.88</v>
      </c>
      <c r="N119" s="22">
        <v>0.6</v>
      </c>
      <c r="O119" s="32">
        <v>50</v>
      </c>
      <c r="P119" s="23">
        <v>2.5</v>
      </c>
      <c r="Q119" s="14">
        <v>86.4</v>
      </c>
      <c r="R119" s="10">
        <v>350</v>
      </c>
      <c r="S119" s="17">
        <f>R119-U119</f>
        <v>171</v>
      </c>
      <c r="T119" s="110">
        <f t="shared" si="41"/>
        <v>0.48857142857142855</v>
      </c>
      <c r="U119" s="17">
        <v>179</v>
      </c>
      <c r="V119" s="68">
        <f t="shared" si="42"/>
        <v>0.51142857142857145</v>
      </c>
      <c r="X119" s="7">
        <v>332</v>
      </c>
      <c r="Y119" s="36">
        <v>277</v>
      </c>
      <c r="Z119" s="77">
        <f t="shared" si="43"/>
        <v>0.83433734939759041</v>
      </c>
      <c r="AA119" s="31" t="s">
        <v>222</v>
      </c>
    </row>
    <row r="120" spans="1:27" ht="12.5" x14ac:dyDescent="0.25">
      <c r="A120" s="28" t="s">
        <v>236</v>
      </c>
      <c r="B120" s="14" t="s">
        <v>45</v>
      </c>
      <c r="C120" s="14" t="s">
        <v>36</v>
      </c>
      <c r="D120" s="14" t="s">
        <v>221</v>
      </c>
      <c r="E120" s="9" t="s">
        <v>263</v>
      </c>
      <c r="F120" s="14">
        <v>10</v>
      </c>
      <c r="G120" s="14">
        <v>1600</v>
      </c>
      <c r="H120" s="14">
        <v>2.62</v>
      </c>
      <c r="I120" s="14">
        <v>3.87</v>
      </c>
      <c r="J120" s="14">
        <v>17.38</v>
      </c>
      <c r="K120" s="19">
        <v>0.27</v>
      </c>
      <c r="L120" s="19">
        <v>2.31</v>
      </c>
      <c r="M120" s="22">
        <v>8.1</v>
      </c>
      <c r="N120" s="14">
        <v>1.17</v>
      </c>
      <c r="O120" s="32">
        <v>50</v>
      </c>
      <c r="P120" s="23">
        <v>2.5</v>
      </c>
      <c r="Q120" s="14">
        <v>85.3</v>
      </c>
      <c r="R120" s="65">
        <f t="shared" ref="R120:R124" si="45">S120+U120</f>
        <v>295</v>
      </c>
      <c r="S120" s="65">
        <v>80</v>
      </c>
      <c r="T120" s="112">
        <f t="shared" si="41"/>
        <v>0.2711864406779661</v>
      </c>
      <c r="U120" s="63">
        <v>215</v>
      </c>
      <c r="V120" s="70">
        <f t="shared" si="42"/>
        <v>0.72881355932203384</v>
      </c>
      <c r="X120" s="7">
        <v>248</v>
      </c>
      <c r="Y120" s="36">
        <v>75</v>
      </c>
      <c r="Z120" s="77">
        <f t="shared" si="43"/>
        <v>0.30241935483870969</v>
      </c>
      <c r="AA120" s="31" t="s">
        <v>222</v>
      </c>
    </row>
    <row r="121" spans="1:27" ht="12.5" x14ac:dyDescent="0.25">
      <c r="A121" s="28" t="s">
        <v>237</v>
      </c>
      <c r="B121" s="14" t="s">
        <v>45</v>
      </c>
      <c r="C121" s="14" t="s">
        <v>36</v>
      </c>
      <c r="D121" s="14" t="s">
        <v>224</v>
      </c>
      <c r="E121" s="9" t="s">
        <v>263</v>
      </c>
      <c r="F121" s="14">
        <v>10</v>
      </c>
      <c r="G121" s="14">
        <v>1600</v>
      </c>
      <c r="H121">
        <v>2.67</v>
      </c>
      <c r="I121" s="14">
        <v>3.89</v>
      </c>
      <c r="J121" s="14">
        <v>4.08</v>
      </c>
      <c r="K121" s="19">
        <v>0.28999999999999998</v>
      </c>
      <c r="L121" s="19">
        <v>1.88</v>
      </c>
      <c r="M121" s="14">
        <v>5.03</v>
      </c>
      <c r="N121" s="14">
        <v>1.01</v>
      </c>
      <c r="O121" s="32">
        <v>50</v>
      </c>
      <c r="P121" s="23">
        <v>2.5</v>
      </c>
      <c r="Q121" s="14">
        <v>84.5</v>
      </c>
      <c r="R121" s="65">
        <f t="shared" si="45"/>
        <v>358</v>
      </c>
      <c r="S121" s="65">
        <v>92</v>
      </c>
      <c r="T121" s="112">
        <f t="shared" si="41"/>
        <v>0.25698324022346369</v>
      </c>
      <c r="U121" s="63">
        <v>266</v>
      </c>
      <c r="V121" s="70">
        <f t="shared" si="42"/>
        <v>0.74301675977653636</v>
      </c>
      <c r="X121" s="7">
        <v>327</v>
      </c>
      <c r="Y121" s="36">
        <v>296</v>
      </c>
      <c r="Z121" s="77">
        <f t="shared" si="43"/>
        <v>0.90519877675840976</v>
      </c>
      <c r="AA121" s="31" t="s">
        <v>222</v>
      </c>
    </row>
    <row r="122" spans="1:27" ht="12.5" x14ac:dyDescent="0.25">
      <c r="A122" s="28" t="s">
        <v>238</v>
      </c>
      <c r="B122" s="14" t="s">
        <v>45</v>
      </c>
      <c r="C122" s="14" t="s">
        <v>36</v>
      </c>
      <c r="D122" s="14" t="s">
        <v>226</v>
      </c>
      <c r="E122" s="9" t="s">
        <v>263</v>
      </c>
      <c r="F122" s="14">
        <v>10</v>
      </c>
      <c r="G122" s="14">
        <v>1600</v>
      </c>
      <c r="H122" s="16">
        <v>2.7</v>
      </c>
      <c r="I122" s="14">
        <v>3.93</v>
      </c>
      <c r="J122" s="14">
        <v>5.07</v>
      </c>
      <c r="K122" s="19">
        <v>0.27</v>
      </c>
      <c r="L122" s="19">
        <v>1.94</v>
      </c>
      <c r="M122">
        <v>5.31</v>
      </c>
      <c r="N122">
        <v>0.92</v>
      </c>
      <c r="O122" s="32">
        <v>50</v>
      </c>
      <c r="P122" s="23">
        <v>2.5</v>
      </c>
      <c r="Q122" s="14">
        <v>82.4</v>
      </c>
      <c r="R122" s="65">
        <f t="shared" si="45"/>
        <v>335</v>
      </c>
      <c r="S122" s="65">
        <v>90</v>
      </c>
      <c r="T122" s="112">
        <f t="shared" si="41"/>
        <v>0.26865671641791045</v>
      </c>
      <c r="U122" s="63">
        <v>245</v>
      </c>
      <c r="V122" s="70">
        <f t="shared" si="42"/>
        <v>0.73134328358208955</v>
      </c>
      <c r="X122" s="7">
        <v>315</v>
      </c>
      <c r="Y122" s="36">
        <v>268</v>
      </c>
      <c r="Z122" s="77">
        <f t="shared" si="43"/>
        <v>0.85079365079365077</v>
      </c>
      <c r="AA122" s="31" t="s">
        <v>222</v>
      </c>
    </row>
    <row r="123" spans="1:27" ht="12.5" x14ac:dyDescent="0.25">
      <c r="A123" s="28" t="s">
        <v>239</v>
      </c>
      <c r="B123" s="14" t="s">
        <v>45</v>
      </c>
      <c r="C123" s="14" t="s">
        <v>36</v>
      </c>
      <c r="D123" s="14" t="s">
        <v>228</v>
      </c>
      <c r="E123" s="9" t="s">
        <v>263</v>
      </c>
      <c r="F123" s="14">
        <v>10</v>
      </c>
      <c r="G123" s="14">
        <v>1600</v>
      </c>
      <c r="H123">
        <v>2.16</v>
      </c>
      <c r="I123" s="22">
        <v>3.8</v>
      </c>
      <c r="J123" s="14">
        <v>9.4600000000000009</v>
      </c>
      <c r="K123" s="19">
        <v>0.26</v>
      </c>
      <c r="L123" s="19">
        <v>2.41</v>
      </c>
      <c r="M123" s="16">
        <v>6</v>
      </c>
      <c r="N123">
        <v>1.1100000000000001</v>
      </c>
      <c r="O123" s="32">
        <v>50</v>
      </c>
      <c r="P123" s="23">
        <v>2.5</v>
      </c>
      <c r="Q123" s="14">
        <v>80.2</v>
      </c>
      <c r="R123" s="65">
        <f t="shared" si="45"/>
        <v>278</v>
      </c>
      <c r="S123" s="65">
        <v>91</v>
      </c>
      <c r="T123" s="112">
        <f t="shared" si="41"/>
        <v>0.3273381294964029</v>
      </c>
      <c r="U123" s="63">
        <v>187</v>
      </c>
      <c r="V123" s="70">
        <f t="shared" si="42"/>
        <v>0.67266187050359716</v>
      </c>
      <c r="X123" s="7">
        <v>248</v>
      </c>
      <c r="Y123" s="36">
        <v>195</v>
      </c>
      <c r="Z123" s="77">
        <f t="shared" si="43"/>
        <v>0.78629032258064513</v>
      </c>
      <c r="AA123" s="31" t="s">
        <v>222</v>
      </c>
    </row>
    <row r="124" spans="1:27" ht="12.5" x14ac:dyDescent="0.25">
      <c r="A124" s="28" t="s">
        <v>240</v>
      </c>
      <c r="B124" s="14" t="s">
        <v>45</v>
      </c>
      <c r="C124" s="14" t="s">
        <v>36</v>
      </c>
      <c r="D124" s="14" t="s">
        <v>230</v>
      </c>
      <c r="E124" s="9" t="s">
        <v>263</v>
      </c>
      <c r="F124" s="14">
        <v>10</v>
      </c>
      <c r="G124" s="14">
        <v>1600</v>
      </c>
      <c r="H124">
        <v>2.29</v>
      </c>
      <c r="J124" s="14">
        <v>9.56</v>
      </c>
      <c r="K124" s="19">
        <v>0.24</v>
      </c>
      <c r="L124" s="19">
        <v>2.5</v>
      </c>
      <c r="O124" s="32">
        <v>50</v>
      </c>
      <c r="P124" s="23">
        <v>2.5</v>
      </c>
      <c r="Q124" s="14">
        <v>82.9</v>
      </c>
      <c r="R124" s="65">
        <f t="shared" si="45"/>
        <v>240</v>
      </c>
      <c r="S124" s="65">
        <v>88</v>
      </c>
      <c r="T124" s="112">
        <f t="shared" si="41"/>
        <v>0.36666666666666664</v>
      </c>
      <c r="U124" s="63">
        <v>152</v>
      </c>
      <c r="V124" s="70">
        <f t="shared" si="42"/>
        <v>0.6333333333333333</v>
      </c>
      <c r="X124" s="7">
        <v>227</v>
      </c>
      <c r="Y124" s="36">
        <v>161</v>
      </c>
      <c r="Z124" s="77">
        <f t="shared" si="43"/>
        <v>0.70925110132158586</v>
      </c>
      <c r="AA124" s="31" t="s">
        <v>222</v>
      </c>
    </row>
    <row r="125" spans="1:27" ht="12.5" x14ac:dyDescent="0.25">
      <c r="A125" s="72" t="s">
        <v>266</v>
      </c>
      <c r="B125" s="14" t="s">
        <v>45</v>
      </c>
      <c r="C125" s="14" t="s">
        <v>54</v>
      </c>
      <c r="D125" s="14" t="s">
        <v>265</v>
      </c>
      <c r="E125" s="35" t="s">
        <v>56</v>
      </c>
      <c r="F125" s="14">
        <v>10</v>
      </c>
      <c r="G125" s="14">
        <v>800</v>
      </c>
      <c r="I125" s="14">
        <v>3.92</v>
      </c>
      <c r="J125" s="14">
        <v>25.5</v>
      </c>
      <c r="K125" s="108">
        <v>0.01</v>
      </c>
      <c r="O125" s="32">
        <v>30</v>
      </c>
      <c r="P125" s="23">
        <v>3</v>
      </c>
      <c r="Q125" s="14">
        <v>62.8</v>
      </c>
      <c r="R125">
        <v>262.8</v>
      </c>
      <c r="S125" s="75">
        <f>R125*T125</f>
        <v>195.786</v>
      </c>
      <c r="T125" s="109">
        <f>1-V125</f>
        <v>0.745</v>
      </c>
      <c r="U125" s="32">
        <f>R125*V125</f>
        <v>67.01400000000001</v>
      </c>
      <c r="V125" s="67">
        <v>0.255</v>
      </c>
      <c r="W125" s="33" t="s">
        <v>39</v>
      </c>
      <c r="X125" s="7">
        <v>217</v>
      </c>
      <c r="Y125" s="5">
        <v>117</v>
      </c>
      <c r="Z125" s="77">
        <f t="shared" si="43"/>
        <v>0.53917050691244239</v>
      </c>
      <c r="AA125" s="31" t="s">
        <v>264</v>
      </c>
    </row>
    <row r="126" spans="1:27" ht="12.5" x14ac:dyDescent="0.25">
      <c r="A126" s="73" t="s">
        <v>267</v>
      </c>
      <c r="B126" s="14" t="s">
        <v>45</v>
      </c>
      <c r="C126" s="14" t="s">
        <v>54</v>
      </c>
      <c r="D126" s="14" t="s">
        <v>265</v>
      </c>
      <c r="E126" s="35" t="s">
        <v>56</v>
      </c>
      <c r="F126" s="14">
        <v>10</v>
      </c>
      <c r="G126" s="14">
        <v>1000</v>
      </c>
      <c r="I126" s="14">
        <v>3.82</v>
      </c>
      <c r="J126" s="14">
        <v>68.599999999999994</v>
      </c>
      <c r="K126" s="108">
        <v>3.5000000000000003E-2</v>
      </c>
      <c r="O126" s="32">
        <v>30</v>
      </c>
      <c r="P126" s="23">
        <v>3</v>
      </c>
      <c r="Q126" s="14">
        <v>63</v>
      </c>
      <c r="R126">
        <v>314.5</v>
      </c>
      <c r="S126" s="75">
        <f t="shared" ref="S126:S129" si="46">R126*T126</f>
        <v>197.82050000000001</v>
      </c>
      <c r="T126" s="109">
        <f t="shared" ref="T126:T129" si="47">1-V126</f>
        <v>0.629</v>
      </c>
      <c r="U126" s="32">
        <f t="shared" ref="U126:U129" si="48">R126*V126</f>
        <v>116.6795</v>
      </c>
      <c r="V126" s="67">
        <v>0.371</v>
      </c>
      <c r="X126" s="7">
        <v>280</v>
      </c>
      <c r="Y126" s="5">
        <v>111</v>
      </c>
      <c r="Z126" s="77">
        <f t="shared" si="43"/>
        <v>0.39642857142857141</v>
      </c>
      <c r="AA126" s="31" t="s">
        <v>264</v>
      </c>
    </row>
    <row r="127" spans="1:27" ht="12.5" x14ac:dyDescent="0.25">
      <c r="A127" s="73" t="s">
        <v>268</v>
      </c>
      <c r="B127" s="14" t="s">
        <v>45</v>
      </c>
      <c r="C127" s="14" t="s">
        <v>54</v>
      </c>
      <c r="D127" s="14" t="s">
        <v>265</v>
      </c>
      <c r="E127" s="35" t="s">
        <v>56</v>
      </c>
      <c r="F127" s="14">
        <v>10</v>
      </c>
      <c r="G127" s="14">
        <v>1200</v>
      </c>
      <c r="I127" s="14">
        <v>3.8</v>
      </c>
      <c r="J127" s="14">
        <v>82.8</v>
      </c>
      <c r="K127" s="108">
        <v>4.9000000000000002E-2</v>
      </c>
      <c r="O127" s="32">
        <v>30</v>
      </c>
      <c r="P127" s="23">
        <v>3</v>
      </c>
      <c r="Q127" s="14">
        <v>67.7</v>
      </c>
      <c r="R127">
        <v>430.5</v>
      </c>
      <c r="S127" s="75">
        <f t="shared" si="46"/>
        <v>229.45649999999998</v>
      </c>
      <c r="T127" s="109">
        <f t="shared" si="47"/>
        <v>0.53299999999999992</v>
      </c>
      <c r="U127" s="32">
        <f t="shared" si="48"/>
        <v>201.04350000000002</v>
      </c>
      <c r="V127" s="67">
        <v>0.46700000000000003</v>
      </c>
      <c r="X127" s="7">
        <v>308</v>
      </c>
      <c r="Y127" s="5">
        <v>94</v>
      </c>
      <c r="Z127" s="77">
        <f t="shared" si="43"/>
        <v>0.30519480519480519</v>
      </c>
      <c r="AA127" s="31" t="s">
        <v>264</v>
      </c>
    </row>
    <row r="128" spans="1:27" ht="12.5" x14ac:dyDescent="0.25">
      <c r="A128" s="74" t="s">
        <v>269</v>
      </c>
      <c r="B128" s="14" t="s">
        <v>45</v>
      </c>
      <c r="C128" s="14" t="s">
        <v>54</v>
      </c>
      <c r="D128" s="14" t="s">
        <v>265</v>
      </c>
      <c r="E128" s="35" t="s">
        <v>56</v>
      </c>
      <c r="F128" s="14">
        <v>10</v>
      </c>
      <c r="G128" s="14">
        <v>1400</v>
      </c>
      <c r="I128" s="14">
        <v>3.76</v>
      </c>
      <c r="J128" s="14">
        <v>39</v>
      </c>
      <c r="K128" s="108">
        <v>0.04</v>
      </c>
      <c r="O128" s="32">
        <v>30</v>
      </c>
      <c r="P128" s="23">
        <v>3</v>
      </c>
      <c r="Q128" s="14">
        <v>69.2</v>
      </c>
      <c r="R128">
        <v>359.7</v>
      </c>
      <c r="S128" s="75">
        <f t="shared" si="46"/>
        <v>170.85749999999999</v>
      </c>
      <c r="T128" s="109">
        <f t="shared" si="47"/>
        <v>0.47499999999999998</v>
      </c>
      <c r="U128" s="32">
        <f t="shared" si="48"/>
        <v>188.8425</v>
      </c>
      <c r="V128" s="67">
        <v>0.52500000000000002</v>
      </c>
      <c r="X128" s="7">
        <v>215</v>
      </c>
      <c r="Y128" s="5">
        <v>76</v>
      </c>
      <c r="Z128" s="77">
        <f t="shared" si="43"/>
        <v>0.35348837209302325</v>
      </c>
      <c r="AA128" s="31" t="s">
        <v>264</v>
      </c>
    </row>
    <row r="129" spans="1:27" ht="12.5" x14ac:dyDescent="0.25">
      <c r="A129" s="76" t="s">
        <v>277</v>
      </c>
      <c r="B129" s="14" t="s">
        <v>158</v>
      </c>
      <c r="C129" s="14" t="s">
        <v>36</v>
      </c>
      <c r="D129" s="14" t="s">
        <v>187</v>
      </c>
      <c r="E129" s="14" t="s">
        <v>271</v>
      </c>
      <c r="F129" s="14">
        <v>10</v>
      </c>
      <c r="G129" s="14">
        <v>1900</v>
      </c>
      <c r="H129" s="14">
        <v>1.45</v>
      </c>
      <c r="I129" s="10">
        <v>3.6</v>
      </c>
      <c r="J129" s="14">
        <v>1.48</v>
      </c>
      <c r="O129" s="32">
        <v>25</v>
      </c>
      <c r="P129" s="23">
        <v>2.5</v>
      </c>
      <c r="Q129" s="14">
        <v>80</v>
      </c>
      <c r="R129">
        <v>400</v>
      </c>
      <c r="S129" s="75">
        <f t="shared" si="46"/>
        <v>60.000000000000007</v>
      </c>
      <c r="T129" s="109">
        <f t="shared" si="47"/>
        <v>0.15000000000000002</v>
      </c>
      <c r="U129" s="23">
        <f t="shared" si="48"/>
        <v>340</v>
      </c>
      <c r="V129" s="67">
        <v>0.85</v>
      </c>
      <c r="W129" s="33" t="s">
        <v>39</v>
      </c>
      <c r="X129" s="24"/>
      <c r="Y129" s="62">
        <v>192</v>
      </c>
      <c r="Z129" s="79"/>
      <c r="AA129" s="31" t="s">
        <v>270</v>
      </c>
    </row>
    <row r="130" spans="1:27" ht="12.5" x14ac:dyDescent="0.25">
      <c r="A130" s="74" t="s">
        <v>274</v>
      </c>
      <c r="B130" s="14" t="s">
        <v>100</v>
      </c>
      <c r="C130" s="14" t="s">
        <v>54</v>
      </c>
      <c r="D130" s="14" t="s">
        <v>276</v>
      </c>
      <c r="E130" s="35" t="s">
        <v>56</v>
      </c>
      <c r="F130" s="14">
        <v>10</v>
      </c>
      <c r="G130" s="14">
        <v>800</v>
      </c>
      <c r="I130" s="14">
        <v>0.39</v>
      </c>
      <c r="J130" s="14">
        <v>2.5</v>
      </c>
      <c r="O130" s="32">
        <v>100</v>
      </c>
      <c r="P130" s="23">
        <v>3</v>
      </c>
      <c r="Q130" s="14">
        <v>57.6</v>
      </c>
      <c r="R130" s="64">
        <v>246</v>
      </c>
      <c r="T130" s="109"/>
      <c r="U130" s="23"/>
      <c r="V130" s="67"/>
      <c r="W130" s="33" t="s">
        <v>39</v>
      </c>
      <c r="X130" s="24">
        <v>231</v>
      </c>
      <c r="Y130" s="62">
        <v>102</v>
      </c>
      <c r="Z130" s="79">
        <f t="shared" ref="Z130" si="49">Y130/X130</f>
        <v>0.44155844155844154</v>
      </c>
      <c r="AA130" s="31" t="s">
        <v>275</v>
      </c>
    </row>
    <row r="131" spans="1:27" ht="12.5" x14ac:dyDescent="0.25">
      <c r="A131" s="72" t="s">
        <v>295</v>
      </c>
      <c r="B131" s="14" t="s">
        <v>111</v>
      </c>
      <c r="C131" s="14" t="s">
        <v>36</v>
      </c>
      <c r="D131" s="14" t="s">
        <v>232</v>
      </c>
      <c r="E131" s="35" t="s">
        <v>56</v>
      </c>
      <c r="F131" s="14">
        <v>10</v>
      </c>
      <c r="G131" s="14">
        <v>1500</v>
      </c>
      <c r="H131" s="14">
        <v>1.1000000000000001</v>
      </c>
      <c r="I131" s="10">
        <v>0.39</v>
      </c>
      <c r="J131" s="14">
        <v>7.16</v>
      </c>
      <c r="K131" s="10">
        <v>0.12</v>
      </c>
      <c r="O131" s="32">
        <v>20</v>
      </c>
      <c r="P131" s="23">
        <v>2</v>
      </c>
      <c r="Q131" s="10">
        <v>62</v>
      </c>
      <c r="R131" s="10">
        <v>239</v>
      </c>
      <c r="S131" s="17">
        <f>R131-U131</f>
        <v>81</v>
      </c>
      <c r="T131" s="110">
        <f>S131/R131</f>
        <v>0.33891213389121339</v>
      </c>
      <c r="U131" s="17">
        <v>158</v>
      </c>
      <c r="V131" s="68">
        <f>U131/R131</f>
        <v>0.66108786610878656</v>
      </c>
      <c r="W131" s="33" t="s">
        <v>39</v>
      </c>
      <c r="X131" s="7">
        <v>187</v>
      </c>
      <c r="Y131" s="36">
        <v>119</v>
      </c>
      <c r="Z131" s="77">
        <f t="shared" ref="Z131:Z133" si="50">Y131/X131</f>
        <v>0.63636363636363635</v>
      </c>
      <c r="AA131" s="31" t="s">
        <v>293</v>
      </c>
    </row>
    <row r="132" spans="1:27" ht="12.5" x14ac:dyDescent="0.25">
      <c r="A132" s="73" t="s">
        <v>294</v>
      </c>
      <c r="B132" s="14" t="s">
        <v>111</v>
      </c>
      <c r="C132" s="14" t="s">
        <v>36</v>
      </c>
      <c r="D132" s="14" t="s">
        <v>232</v>
      </c>
      <c r="E132" s="35" t="s">
        <v>56</v>
      </c>
      <c r="F132" s="14">
        <v>10</v>
      </c>
      <c r="G132" s="14">
        <v>1500</v>
      </c>
      <c r="H132" s="14">
        <v>1.23</v>
      </c>
      <c r="I132" s="10">
        <v>0.38</v>
      </c>
      <c r="J132" s="14">
        <v>9.52</v>
      </c>
      <c r="K132" s="64">
        <v>0.26100000000000001</v>
      </c>
      <c r="O132" s="32">
        <v>20</v>
      </c>
      <c r="P132" s="23">
        <v>2</v>
      </c>
      <c r="Q132" s="10">
        <v>66</v>
      </c>
      <c r="R132" s="10">
        <v>337</v>
      </c>
      <c r="S132" s="17">
        <f>R132-U132</f>
        <v>116</v>
      </c>
      <c r="T132" s="110">
        <f>S132/R132</f>
        <v>0.34421364985163205</v>
      </c>
      <c r="U132" s="17">
        <v>221</v>
      </c>
      <c r="V132" s="68">
        <f>U132/R132</f>
        <v>0.65578635014836795</v>
      </c>
      <c r="X132" s="7">
        <v>290</v>
      </c>
      <c r="Y132" s="36">
        <v>252</v>
      </c>
      <c r="Z132" s="77">
        <f t="shared" si="50"/>
        <v>0.86896551724137927</v>
      </c>
      <c r="AA132" s="31" t="s">
        <v>293</v>
      </c>
    </row>
    <row r="133" spans="1:27" ht="12.5" x14ac:dyDescent="0.25">
      <c r="A133" s="74" t="s">
        <v>296</v>
      </c>
      <c r="B133" s="14" t="s">
        <v>111</v>
      </c>
      <c r="C133" s="14" t="s">
        <v>36</v>
      </c>
      <c r="D133" s="14" t="s">
        <v>232</v>
      </c>
      <c r="E133" s="35" t="s">
        <v>56</v>
      </c>
      <c r="F133" s="14">
        <v>10</v>
      </c>
      <c r="G133" s="14">
        <v>1500</v>
      </c>
      <c r="H133" s="14">
        <v>1.37</v>
      </c>
      <c r="I133" s="10">
        <v>0.38</v>
      </c>
      <c r="J133" s="14">
        <v>18.170000000000002</v>
      </c>
      <c r="K133" s="10">
        <v>0.11</v>
      </c>
      <c r="O133" s="32">
        <v>20</v>
      </c>
      <c r="P133" s="23">
        <v>2</v>
      </c>
      <c r="Q133" s="10">
        <v>53</v>
      </c>
      <c r="R133" s="10">
        <v>120</v>
      </c>
      <c r="S133" s="17">
        <f>R133-U133</f>
        <v>69</v>
      </c>
      <c r="T133" s="110">
        <f>S133/R133</f>
        <v>0.57499999999999996</v>
      </c>
      <c r="U133" s="17">
        <v>51</v>
      </c>
      <c r="V133" s="68">
        <f>U133/R133</f>
        <v>0.42499999999999999</v>
      </c>
      <c r="X133" s="7">
        <v>81</v>
      </c>
      <c r="Y133" s="5">
        <v>47</v>
      </c>
      <c r="Z133" s="77">
        <f t="shared" si="50"/>
        <v>0.58024691358024694</v>
      </c>
      <c r="AA133" s="31" t="s">
        <v>293</v>
      </c>
    </row>
    <row r="134" spans="1:27" ht="12.5" x14ac:dyDescent="0.25">
      <c r="A134" s="15"/>
      <c r="O134" s="32"/>
      <c r="Q134" s="14"/>
      <c r="T134" s="67"/>
      <c r="U134" s="23"/>
      <c r="V134" s="105"/>
      <c r="X134" s="24"/>
      <c r="Y134" s="18"/>
      <c r="Z134" s="79"/>
    </row>
    <row r="135" spans="1:27" ht="12.5" x14ac:dyDescent="0.25">
      <c r="A135" s="15"/>
      <c r="O135" s="32"/>
      <c r="Q135" s="14"/>
      <c r="T135" s="67"/>
      <c r="U135" s="23"/>
      <c r="V135" s="105"/>
      <c r="X135" s="24"/>
      <c r="Y135" s="18"/>
      <c r="Z135" s="79"/>
    </row>
    <row r="136" spans="1:27" ht="12.5" x14ac:dyDescent="0.25">
      <c r="A136" s="15"/>
      <c r="O136" s="32"/>
      <c r="Q136" s="14"/>
      <c r="T136" s="67"/>
      <c r="U136" s="23"/>
      <c r="V136" s="105"/>
      <c r="X136" s="24"/>
      <c r="Y136" s="18"/>
      <c r="Z136" s="79"/>
    </row>
    <row r="137" spans="1:27" ht="12.5" x14ac:dyDescent="0.25">
      <c r="A137" s="15"/>
      <c r="O137" s="32"/>
      <c r="Q137" s="14"/>
      <c r="T137" s="67"/>
      <c r="U137" s="23"/>
      <c r="V137" s="105"/>
      <c r="X137" s="24"/>
      <c r="Y137" s="18"/>
      <c r="Z137" s="79"/>
    </row>
    <row r="138" spans="1:27" ht="12.5" x14ac:dyDescent="0.25">
      <c r="A138" s="15"/>
      <c r="O138" s="32"/>
      <c r="Q138" s="14"/>
      <c r="T138" s="67"/>
      <c r="U138" s="23"/>
      <c r="V138" s="105"/>
      <c r="X138" s="24"/>
      <c r="Y138" s="18"/>
      <c r="Z138" s="79"/>
    </row>
    <row r="139" spans="1:27" ht="12.5" x14ac:dyDescent="0.25">
      <c r="A139" s="15"/>
      <c r="O139" s="32"/>
      <c r="Q139" s="14"/>
      <c r="T139" s="67"/>
      <c r="U139" s="23"/>
      <c r="V139" s="105"/>
      <c r="X139" s="24"/>
      <c r="Y139" s="18"/>
      <c r="Z139" s="79"/>
    </row>
    <row r="140" spans="1:27" ht="12.5" x14ac:dyDescent="0.25">
      <c r="A140" s="15"/>
      <c r="O140" s="32"/>
      <c r="Q140" s="14"/>
      <c r="T140" s="67"/>
      <c r="U140" s="23"/>
      <c r="V140" s="105"/>
      <c r="X140" s="24"/>
      <c r="Y140" s="18"/>
      <c r="Z140" s="79"/>
    </row>
    <row r="141" spans="1:27" ht="12.5" x14ac:dyDescent="0.25">
      <c r="A141" s="15"/>
      <c r="O141" s="32"/>
      <c r="Q141" s="14"/>
      <c r="T141" s="67"/>
      <c r="U141" s="23"/>
      <c r="V141" s="105"/>
      <c r="X141" s="24"/>
      <c r="Y141" s="18"/>
      <c r="Z141" s="79"/>
    </row>
    <row r="142" spans="1:27" ht="12.5" x14ac:dyDescent="0.25">
      <c r="A142" s="15"/>
      <c r="O142" s="32"/>
      <c r="Q142" s="14"/>
      <c r="T142" s="67"/>
      <c r="U142" s="23"/>
      <c r="V142" s="105"/>
      <c r="X142" s="24"/>
      <c r="Y142" s="18"/>
      <c r="Z142" s="79"/>
    </row>
    <row r="143" spans="1:27" ht="12.5" x14ac:dyDescent="0.25">
      <c r="A143" s="15"/>
      <c r="O143" s="32"/>
      <c r="Q143" s="14"/>
      <c r="T143" s="67"/>
      <c r="U143" s="23"/>
      <c r="V143" s="105"/>
      <c r="X143" s="24"/>
      <c r="Y143" s="18"/>
      <c r="Z143" s="79"/>
    </row>
    <row r="144" spans="1:27" ht="12.5" x14ac:dyDescent="0.25">
      <c r="A144" s="15"/>
      <c r="O144" s="32"/>
      <c r="Q144" s="14"/>
      <c r="T144" s="67"/>
      <c r="U144" s="23"/>
      <c r="V144" s="105"/>
      <c r="X144" s="24"/>
      <c r="Y144" s="18"/>
      <c r="Z144" s="79"/>
    </row>
    <row r="145" spans="1:26" ht="12.5" x14ac:dyDescent="0.25">
      <c r="A145" s="15"/>
      <c r="O145" s="32"/>
      <c r="Q145" s="14"/>
      <c r="T145" s="67"/>
      <c r="U145" s="23"/>
      <c r="V145" s="105"/>
      <c r="X145" s="24"/>
      <c r="Y145" s="18"/>
      <c r="Z145" s="79"/>
    </row>
    <row r="146" spans="1:26" ht="12.5" x14ac:dyDescent="0.25">
      <c r="A146" s="15"/>
      <c r="O146" s="32"/>
      <c r="Q146" s="14"/>
      <c r="T146" s="67"/>
      <c r="U146" s="23"/>
      <c r="V146" s="105"/>
      <c r="X146" s="24"/>
      <c r="Y146" s="18"/>
      <c r="Z146" s="79"/>
    </row>
    <row r="147" spans="1:26" ht="12.5" x14ac:dyDescent="0.25">
      <c r="A147" s="15"/>
      <c r="O147" s="32"/>
      <c r="Q147" s="14"/>
      <c r="T147" s="67"/>
      <c r="U147" s="23"/>
      <c r="V147" s="105"/>
      <c r="X147" s="24"/>
      <c r="Y147" s="18"/>
      <c r="Z147" s="79"/>
    </row>
    <row r="148" spans="1:26" ht="12.5" x14ac:dyDescent="0.25">
      <c r="A148" s="15"/>
      <c r="O148" s="32"/>
      <c r="Q148" s="14"/>
      <c r="T148" s="67"/>
      <c r="U148" s="23"/>
      <c r="V148" s="105"/>
      <c r="X148" s="24"/>
      <c r="Y148" s="18"/>
      <c r="Z148" s="79"/>
    </row>
    <row r="149" spans="1:26" ht="12.5" x14ac:dyDescent="0.25">
      <c r="A149" s="15"/>
      <c r="O149" s="32"/>
      <c r="Q149" s="14"/>
      <c r="T149" s="67"/>
      <c r="U149" s="23"/>
      <c r="V149" s="105"/>
      <c r="X149" s="24"/>
      <c r="Y149" s="18"/>
      <c r="Z149" s="79"/>
    </row>
    <row r="150" spans="1:26" ht="12.5" x14ac:dyDescent="0.25">
      <c r="A150" s="15"/>
      <c r="O150" s="32"/>
      <c r="Q150" s="14"/>
      <c r="T150" s="67"/>
      <c r="U150" s="23"/>
      <c r="V150" s="105"/>
      <c r="X150" s="24"/>
      <c r="Y150" s="18"/>
      <c r="Z150" s="79"/>
    </row>
    <row r="151" spans="1:26" ht="12.5" x14ac:dyDescent="0.25">
      <c r="A151" s="15"/>
      <c r="O151" s="32"/>
      <c r="Q151" s="14"/>
      <c r="T151" s="67"/>
      <c r="U151" s="23"/>
      <c r="V151" s="105"/>
      <c r="X151" s="24"/>
      <c r="Y151" s="18"/>
      <c r="Z151" s="79"/>
    </row>
    <row r="152" spans="1:26" ht="12.5" x14ac:dyDescent="0.25">
      <c r="A152" s="15"/>
      <c r="O152" s="32"/>
      <c r="Q152" s="14"/>
      <c r="T152" s="67"/>
      <c r="U152" s="23"/>
      <c r="V152" s="105"/>
      <c r="X152" s="24"/>
      <c r="Y152" s="18"/>
      <c r="Z152" s="79"/>
    </row>
    <row r="153" spans="1:26" ht="12.5" x14ac:dyDescent="0.25">
      <c r="A153" s="15"/>
      <c r="O153" s="32"/>
      <c r="Q153" s="14"/>
      <c r="T153" s="67"/>
      <c r="U153" s="23"/>
      <c r="V153" s="105"/>
      <c r="X153" s="24"/>
      <c r="Y153" s="18"/>
      <c r="Z153" s="79"/>
    </row>
    <row r="154" spans="1:26" ht="12.5" x14ac:dyDescent="0.25">
      <c r="A154" s="15"/>
      <c r="O154" s="32"/>
      <c r="Q154" s="14"/>
      <c r="T154" s="67"/>
      <c r="U154" s="23"/>
      <c r="V154" s="105"/>
      <c r="X154" s="24"/>
      <c r="Y154" s="18"/>
      <c r="Z154" s="79"/>
    </row>
    <row r="155" spans="1:26" ht="12.5" x14ac:dyDescent="0.25">
      <c r="A155" s="15"/>
      <c r="O155" s="32"/>
      <c r="Q155" s="14"/>
      <c r="T155" s="67"/>
      <c r="U155" s="23"/>
      <c r="V155" s="105"/>
      <c r="X155" s="24"/>
      <c r="Y155" s="18"/>
      <c r="Z155" s="79"/>
    </row>
    <row r="156" spans="1:26" ht="12.5" x14ac:dyDescent="0.25">
      <c r="A156" s="15"/>
      <c r="O156" s="32"/>
      <c r="Q156" s="14"/>
      <c r="T156" s="67"/>
      <c r="U156" s="23"/>
      <c r="V156" s="105"/>
      <c r="X156" s="24"/>
      <c r="Y156" s="18"/>
      <c r="Z156" s="79"/>
    </row>
    <row r="157" spans="1:26" ht="12.5" x14ac:dyDescent="0.25">
      <c r="A157" s="15"/>
      <c r="O157" s="32"/>
      <c r="Q157" s="14"/>
      <c r="T157" s="67"/>
      <c r="U157" s="23"/>
      <c r="V157" s="105"/>
      <c r="X157" s="24"/>
      <c r="Y157" s="18"/>
      <c r="Z157" s="79"/>
    </row>
    <row r="158" spans="1:26" ht="12.5" x14ac:dyDescent="0.25">
      <c r="A158" s="15"/>
      <c r="O158" s="32"/>
      <c r="Q158" s="14"/>
      <c r="T158" s="67"/>
      <c r="U158" s="23"/>
      <c r="V158" s="105"/>
      <c r="X158" s="24"/>
      <c r="Y158" s="18"/>
      <c r="Z158" s="79"/>
    </row>
    <row r="159" spans="1:26" ht="12.5" x14ac:dyDescent="0.25">
      <c r="A159" s="15"/>
      <c r="O159" s="32"/>
      <c r="Q159" s="14"/>
      <c r="T159" s="67"/>
      <c r="U159" s="23"/>
      <c r="V159" s="105"/>
      <c r="X159" s="24"/>
      <c r="Y159" s="18"/>
      <c r="Z159" s="79"/>
    </row>
    <row r="160" spans="1:26" ht="12.5" x14ac:dyDescent="0.25">
      <c r="A160" s="15"/>
      <c r="O160" s="32"/>
      <c r="Q160" s="14"/>
      <c r="T160" s="67"/>
      <c r="U160" s="23"/>
      <c r="V160" s="105"/>
      <c r="X160" s="24"/>
      <c r="Y160" s="18"/>
      <c r="Z160" s="79"/>
    </row>
    <row r="161" spans="1:26" ht="12.5" x14ac:dyDescent="0.25">
      <c r="A161" s="15"/>
      <c r="O161" s="32"/>
      <c r="Q161" s="14"/>
      <c r="T161" s="67"/>
      <c r="U161" s="23"/>
      <c r="V161" s="105"/>
      <c r="X161" s="24"/>
      <c r="Y161" s="18"/>
      <c r="Z161" s="79"/>
    </row>
    <row r="162" spans="1:26" ht="12.5" x14ac:dyDescent="0.25">
      <c r="A162" s="15"/>
      <c r="O162" s="32"/>
      <c r="Q162" s="14"/>
      <c r="T162" s="67"/>
      <c r="U162" s="23"/>
      <c r="V162" s="105"/>
      <c r="X162" s="24"/>
      <c r="Y162" s="18"/>
      <c r="Z162" s="79"/>
    </row>
    <row r="163" spans="1:26" ht="12.5" x14ac:dyDescent="0.25">
      <c r="A163" s="15"/>
      <c r="O163" s="32"/>
      <c r="Q163" s="14"/>
      <c r="T163" s="67"/>
      <c r="U163" s="23"/>
      <c r="V163" s="105"/>
      <c r="X163" s="24"/>
      <c r="Y163" s="18"/>
      <c r="Z163" s="79"/>
    </row>
    <row r="164" spans="1:26" ht="12.5" x14ac:dyDescent="0.25">
      <c r="A164" s="15"/>
      <c r="O164" s="32"/>
      <c r="Q164" s="14"/>
      <c r="T164" s="67"/>
      <c r="U164" s="23"/>
      <c r="V164" s="105"/>
      <c r="X164" s="24"/>
      <c r="Y164" s="18"/>
      <c r="Z164" s="79"/>
    </row>
    <row r="165" spans="1:26" ht="12.5" x14ac:dyDescent="0.25">
      <c r="A165" s="15"/>
      <c r="O165" s="32"/>
      <c r="Q165" s="14"/>
      <c r="T165" s="67"/>
      <c r="U165" s="23"/>
      <c r="V165" s="105"/>
      <c r="X165" s="24"/>
      <c r="Y165" s="18"/>
      <c r="Z165" s="79"/>
    </row>
    <row r="166" spans="1:26" ht="12.5" x14ac:dyDescent="0.25">
      <c r="A166" s="15"/>
      <c r="O166" s="32"/>
      <c r="Q166" s="14"/>
      <c r="T166" s="67"/>
      <c r="U166" s="23"/>
      <c r="V166" s="105"/>
      <c r="X166" s="24"/>
      <c r="Y166" s="18"/>
      <c r="Z166" s="79"/>
    </row>
    <row r="167" spans="1:26" ht="12.5" x14ac:dyDescent="0.25">
      <c r="A167" s="15"/>
      <c r="O167" s="32"/>
      <c r="Q167" s="14"/>
      <c r="T167" s="67"/>
      <c r="U167" s="23"/>
      <c r="V167" s="105"/>
      <c r="X167" s="24"/>
      <c r="Y167" s="18"/>
      <c r="Z167" s="79"/>
    </row>
    <row r="168" spans="1:26" ht="12.5" x14ac:dyDescent="0.25">
      <c r="A168" s="15"/>
      <c r="O168" s="32"/>
      <c r="Q168" s="14"/>
      <c r="T168" s="67"/>
      <c r="U168" s="23"/>
      <c r="V168" s="105"/>
      <c r="X168" s="24"/>
      <c r="Y168" s="18"/>
      <c r="Z168" s="79"/>
    </row>
    <row r="169" spans="1:26" ht="12.5" x14ac:dyDescent="0.25">
      <c r="A169" s="15"/>
      <c r="O169" s="32"/>
      <c r="Q169" s="14"/>
      <c r="T169" s="67"/>
      <c r="U169" s="23"/>
      <c r="V169" s="105"/>
      <c r="X169" s="24"/>
      <c r="Y169" s="18"/>
      <c r="Z169" s="79"/>
    </row>
    <row r="170" spans="1:26" ht="12.5" x14ac:dyDescent="0.25">
      <c r="A170" s="15"/>
      <c r="O170" s="32"/>
      <c r="Q170" s="14"/>
      <c r="T170" s="67"/>
      <c r="U170" s="23"/>
      <c r="V170" s="105"/>
      <c r="X170" s="24"/>
      <c r="Y170" s="18"/>
      <c r="Z170" s="79"/>
    </row>
    <row r="171" spans="1:26" ht="12.5" x14ac:dyDescent="0.25">
      <c r="A171" s="15"/>
      <c r="O171" s="32"/>
      <c r="Q171" s="14"/>
      <c r="T171" s="67"/>
      <c r="U171" s="23"/>
      <c r="V171" s="105"/>
      <c r="X171" s="24"/>
      <c r="Y171" s="18"/>
      <c r="Z171" s="79"/>
    </row>
    <row r="172" spans="1:26" ht="12.5" x14ac:dyDescent="0.25">
      <c r="A172" s="15"/>
      <c r="O172" s="32"/>
      <c r="Q172" s="14"/>
      <c r="T172" s="67"/>
      <c r="U172" s="23"/>
      <c r="V172" s="105"/>
      <c r="X172" s="24"/>
      <c r="Y172" s="18"/>
      <c r="Z172" s="79"/>
    </row>
    <row r="173" spans="1:26" ht="12.5" x14ac:dyDescent="0.25">
      <c r="A173" s="15"/>
      <c r="O173" s="32"/>
      <c r="Q173" s="14"/>
      <c r="T173" s="67"/>
      <c r="U173" s="23"/>
      <c r="V173" s="105"/>
      <c r="X173" s="24"/>
      <c r="Y173" s="18"/>
      <c r="Z173" s="79"/>
    </row>
    <row r="174" spans="1:26" ht="12.5" x14ac:dyDescent="0.25">
      <c r="A174" s="15"/>
      <c r="O174" s="32"/>
      <c r="Q174" s="14"/>
      <c r="T174" s="67"/>
      <c r="U174" s="23"/>
      <c r="V174" s="105"/>
      <c r="X174" s="24"/>
      <c r="Y174" s="18"/>
      <c r="Z174" s="79"/>
    </row>
    <row r="175" spans="1:26" ht="12.5" x14ac:dyDescent="0.25">
      <c r="A175" s="15"/>
      <c r="O175" s="32"/>
      <c r="Q175" s="14"/>
      <c r="T175" s="67"/>
      <c r="U175" s="23"/>
      <c r="V175" s="105"/>
      <c r="X175" s="24"/>
      <c r="Y175" s="18"/>
      <c r="Z175" s="79"/>
    </row>
    <row r="176" spans="1:26" ht="12.5" x14ac:dyDescent="0.25">
      <c r="A176" s="15"/>
      <c r="O176" s="32"/>
      <c r="Q176" s="14"/>
      <c r="T176" s="67"/>
      <c r="U176" s="23"/>
      <c r="V176" s="105"/>
      <c r="X176" s="24"/>
      <c r="Y176" s="18"/>
      <c r="Z176" s="79"/>
    </row>
    <row r="177" spans="1:26" ht="12.5" x14ac:dyDescent="0.25">
      <c r="A177" s="15"/>
      <c r="O177" s="32"/>
      <c r="Q177" s="14"/>
      <c r="T177" s="67"/>
      <c r="U177" s="23"/>
      <c r="V177" s="105"/>
      <c r="X177" s="24"/>
      <c r="Y177" s="18"/>
      <c r="Z177" s="79"/>
    </row>
    <row r="178" spans="1:26" ht="12.5" x14ac:dyDescent="0.25">
      <c r="A178" s="15"/>
      <c r="O178" s="32"/>
      <c r="Q178" s="14"/>
      <c r="T178" s="67"/>
      <c r="U178" s="23"/>
      <c r="V178" s="105"/>
      <c r="X178" s="24"/>
      <c r="Y178" s="18"/>
      <c r="Z178" s="79"/>
    </row>
    <row r="179" spans="1:26" ht="12.5" x14ac:dyDescent="0.25">
      <c r="A179" s="15"/>
      <c r="O179" s="32"/>
      <c r="Q179" s="14"/>
      <c r="T179" s="67"/>
      <c r="U179" s="23"/>
      <c r="V179" s="105"/>
      <c r="X179" s="24"/>
      <c r="Y179" s="18"/>
      <c r="Z179" s="79"/>
    </row>
    <row r="180" spans="1:26" ht="12.5" x14ac:dyDescent="0.25">
      <c r="A180" s="15"/>
      <c r="O180" s="32"/>
      <c r="Q180" s="14"/>
      <c r="T180" s="67"/>
      <c r="U180" s="23"/>
      <c r="V180" s="105"/>
      <c r="X180" s="24"/>
      <c r="Y180" s="18"/>
      <c r="Z180" s="79"/>
    </row>
    <row r="181" spans="1:26" ht="12.5" x14ac:dyDescent="0.25">
      <c r="A181" s="15"/>
      <c r="O181" s="32"/>
      <c r="Q181" s="14"/>
      <c r="T181" s="67"/>
      <c r="U181" s="23"/>
      <c r="V181" s="105"/>
      <c r="X181" s="24"/>
      <c r="Y181" s="18"/>
      <c r="Z181" s="79"/>
    </row>
    <row r="182" spans="1:26" ht="12.5" x14ac:dyDescent="0.25">
      <c r="A182" s="15"/>
      <c r="O182" s="32"/>
      <c r="Q182" s="14"/>
      <c r="T182" s="67"/>
      <c r="U182" s="23"/>
      <c r="V182" s="105"/>
      <c r="X182" s="24"/>
      <c r="Y182" s="18"/>
      <c r="Z182" s="79"/>
    </row>
    <row r="183" spans="1:26" ht="12.5" x14ac:dyDescent="0.25">
      <c r="A183" s="15"/>
      <c r="O183" s="32"/>
      <c r="Q183" s="14"/>
      <c r="T183" s="67"/>
      <c r="U183" s="23"/>
      <c r="V183" s="105"/>
      <c r="X183" s="24"/>
      <c r="Y183" s="18"/>
      <c r="Z183" s="79"/>
    </row>
    <row r="184" spans="1:26" ht="12.5" x14ac:dyDescent="0.25">
      <c r="A184" s="15"/>
      <c r="O184" s="32"/>
      <c r="Q184" s="14"/>
      <c r="T184" s="67"/>
      <c r="U184" s="23"/>
      <c r="V184" s="105"/>
      <c r="X184" s="24"/>
      <c r="Y184" s="18"/>
      <c r="Z184" s="79"/>
    </row>
    <row r="185" spans="1:26" ht="12.5" x14ac:dyDescent="0.25">
      <c r="A185" s="15"/>
      <c r="O185" s="32"/>
      <c r="Q185" s="14"/>
      <c r="T185" s="67"/>
      <c r="U185" s="23"/>
      <c r="V185" s="105"/>
      <c r="X185" s="24"/>
      <c r="Y185" s="18"/>
      <c r="Z185" s="79"/>
    </row>
    <row r="186" spans="1:26" ht="12.5" x14ac:dyDescent="0.25">
      <c r="A186" s="15"/>
      <c r="O186" s="32"/>
      <c r="Q186" s="14"/>
      <c r="T186" s="67"/>
      <c r="U186" s="23"/>
      <c r="V186" s="105"/>
      <c r="X186" s="24"/>
      <c r="Y186" s="18"/>
      <c r="Z186" s="79"/>
    </row>
    <row r="187" spans="1:26" ht="12.5" x14ac:dyDescent="0.25">
      <c r="A187" s="15"/>
      <c r="O187" s="32"/>
      <c r="Q187" s="14"/>
      <c r="T187" s="67"/>
      <c r="U187" s="23"/>
      <c r="V187" s="105"/>
      <c r="X187" s="24"/>
      <c r="Y187" s="18"/>
      <c r="Z187" s="79"/>
    </row>
    <row r="188" spans="1:26" ht="12.5" x14ac:dyDescent="0.25">
      <c r="A188" s="15"/>
      <c r="O188" s="32"/>
      <c r="Q188" s="14"/>
      <c r="T188" s="67"/>
      <c r="U188" s="23"/>
      <c r="V188" s="105"/>
      <c r="X188" s="24"/>
      <c r="Y188" s="18"/>
      <c r="Z188" s="79"/>
    </row>
    <row r="189" spans="1:26" ht="12.5" x14ac:dyDescent="0.25">
      <c r="A189" s="15"/>
      <c r="O189" s="32"/>
      <c r="Q189" s="14"/>
      <c r="T189" s="67"/>
      <c r="U189" s="23"/>
      <c r="V189" s="105"/>
      <c r="X189" s="24"/>
      <c r="Y189" s="18"/>
      <c r="Z189" s="79"/>
    </row>
    <row r="190" spans="1:26" ht="12.5" x14ac:dyDescent="0.25">
      <c r="A190" s="15"/>
      <c r="O190" s="32"/>
      <c r="Q190" s="14"/>
      <c r="T190" s="67"/>
      <c r="U190" s="23"/>
      <c r="V190" s="105"/>
      <c r="X190" s="24"/>
      <c r="Y190" s="18"/>
      <c r="Z190" s="79"/>
    </row>
    <row r="191" spans="1:26" ht="12.5" x14ac:dyDescent="0.25">
      <c r="A191" s="15"/>
      <c r="O191" s="32"/>
      <c r="Q191" s="14"/>
      <c r="T191" s="67"/>
      <c r="U191" s="23"/>
      <c r="V191" s="105"/>
      <c r="X191" s="24"/>
      <c r="Y191" s="18"/>
      <c r="Z191" s="79"/>
    </row>
    <row r="192" spans="1:26" ht="12.5" x14ac:dyDescent="0.25">
      <c r="A192" s="15"/>
      <c r="O192" s="32"/>
      <c r="Q192" s="14"/>
      <c r="T192" s="67"/>
      <c r="U192" s="23"/>
      <c r="V192" s="105"/>
      <c r="X192" s="24"/>
      <c r="Y192" s="18"/>
      <c r="Z192" s="79"/>
    </row>
    <row r="193" spans="1:26" ht="12.5" x14ac:dyDescent="0.25">
      <c r="A193" s="15"/>
      <c r="O193" s="32"/>
      <c r="Q193" s="14"/>
      <c r="T193" s="67"/>
      <c r="U193" s="23"/>
      <c r="V193" s="105"/>
      <c r="X193" s="24"/>
      <c r="Y193" s="18"/>
      <c r="Z193" s="79"/>
    </row>
    <row r="194" spans="1:26" ht="12.5" x14ac:dyDescent="0.25">
      <c r="A194" s="15"/>
      <c r="O194" s="32"/>
      <c r="Q194" s="14"/>
      <c r="T194" s="67"/>
      <c r="U194" s="23"/>
      <c r="V194" s="105"/>
      <c r="X194" s="24"/>
      <c r="Y194" s="18"/>
      <c r="Z194" s="79"/>
    </row>
    <row r="195" spans="1:26" ht="12.5" x14ac:dyDescent="0.25">
      <c r="A195" s="15"/>
      <c r="O195" s="32"/>
      <c r="Q195" s="14"/>
      <c r="T195" s="67"/>
      <c r="U195" s="23"/>
      <c r="V195" s="105"/>
      <c r="X195" s="24"/>
      <c r="Y195" s="18"/>
      <c r="Z195" s="79"/>
    </row>
    <row r="196" spans="1:26" ht="12.5" x14ac:dyDescent="0.25">
      <c r="A196" s="15"/>
      <c r="O196" s="32"/>
      <c r="Q196" s="14"/>
      <c r="T196" s="67"/>
      <c r="U196" s="23"/>
      <c r="V196" s="105"/>
      <c r="X196" s="24"/>
      <c r="Y196" s="18"/>
      <c r="Z196" s="79"/>
    </row>
    <row r="197" spans="1:26" ht="12.5" x14ac:dyDescent="0.25">
      <c r="A197" s="15"/>
      <c r="O197" s="32"/>
      <c r="Q197" s="14"/>
      <c r="T197" s="67"/>
      <c r="U197" s="23"/>
      <c r="V197" s="105"/>
      <c r="X197" s="24"/>
      <c r="Y197" s="18"/>
      <c r="Z197" s="79"/>
    </row>
    <row r="198" spans="1:26" ht="12.5" x14ac:dyDescent="0.25">
      <c r="A198" s="15"/>
      <c r="O198" s="32"/>
      <c r="Q198" s="14"/>
      <c r="T198" s="67"/>
      <c r="U198" s="23"/>
      <c r="V198" s="105"/>
      <c r="X198" s="24"/>
      <c r="Y198" s="18"/>
      <c r="Z198" s="79"/>
    </row>
    <row r="199" spans="1:26" ht="12.5" x14ac:dyDescent="0.25">
      <c r="A199" s="15"/>
      <c r="O199" s="32"/>
      <c r="Q199" s="14"/>
      <c r="T199" s="67"/>
      <c r="U199" s="23"/>
      <c r="V199" s="105"/>
      <c r="X199" s="24"/>
      <c r="Y199" s="18"/>
      <c r="Z199" s="79"/>
    </row>
    <row r="200" spans="1:26" ht="12.5" x14ac:dyDescent="0.25">
      <c r="A200" s="15"/>
      <c r="O200" s="32"/>
      <c r="Q200" s="14"/>
      <c r="T200" s="67"/>
      <c r="U200" s="23"/>
      <c r="V200" s="105"/>
      <c r="X200" s="24"/>
      <c r="Y200" s="18"/>
      <c r="Z200" s="79"/>
    </row>
    <row r="201" spans="1:26" ht="12.5" x14ac:dyDescent="0.25">
      <c r="A201" s="15"/>
      <c r="O201" s="32"/>
      <c r="Q201" s="14"/>
      <c r="T201" s="67"/>
      <c r="U201" s="23"/>
      <c r="V201" s="105"/>
      <c r="X201" s="24"/>
      <c r="Y201" s="18"/>
      <c r="Z201" s="79"/>
    </row>
    <row r="202" spans="1:26" ht="12.5" x14ac:dyDescent="0.25">
      <c r="A202" s="15"/>
      <c r="O202" s="32"/>
      <c r="Q202" s="14"/>
      <c r="T202" s="67"/>
      <c r="U202" s="23"/>
      <c r="V202" s="105"/>
      <c r="X202" s="24"/>
      <c r="Y202" s="18"/>
      <c r="Z202" s="79"/>
    </row>
    <row r="203" spans="1:26" ht="12.5" x14ac:dyDescent="0.25">
      <c r="A203" s="15"/>
      <c r="O203" s="32"/>
      <c r="Q203" s="14"/>
      <c r="T203" s="67"/>
      <c r="U203" s="23"/>
      <c r="V203" s="105"/>
      <c r="X203" s="24"/>
      <c r="Y203" s="18"/>
      <c r="Z203" s="79"/>
    </row>
    <row r="204" spans="1:26" ht="12.5" x14ac:dyDescent="0.25">
      <c r="A204" s="15"/>
      <c r="O204" s="32"/>
      <c r="Q204" s="14"/>
      <c r="T204" s="67"/>
      <c r="U204" s="23"/>
      <c r="V204" s="105"/>
      <c r="X204" s="24"/>
      <c r="Y204" s="18"/>
      <c r="Z204" s="79"/>
    </row>
    <row r="205" spans="1:26" ht="12.5" x14ac:dyDescent="0.25">
      <c r="A205" s="15"/>
      <c r="O205" s="32"/>
      <c r="Q205" s="14"/>
      <c r="T205" s="67"/>
      <c r="U205" s="23"/>
      <c r="V205" s="105"/>
      <c r="X205" s="24"/>
      <c r="Y205" s="18"/>
      <c r="Z205" s="79"/>
    </row>
    <row r="206" spans="1:26" ht="12.5" x14ac:dyDescent="0.25">
      <c r="A206" s="15"/>
      <c r="O206" s="32"/>
      <c r="Q206" s="14"/>
      <c r="T206" s="67"/>
      <c r="U206" s="23"/>
      <c r="V206" s="105"/>
      <c r="X206" s="24"/>
      <c r="Y206" s="18"/>
      <c r="Z206" s="79"/>
    </row>
    <row r="207" spans="1:26" ht="12.5" x14ac:dyDescent="0.25">
      <c r="A207" s="15"/>
      <c r="O207" s="32"/>
      <c r="Q207" s="14"/>
      <c r="T207" s="67"/>
      <c r="U207" s="23"/>
      <c r="V207" s="105"/>
      <c r="X207" s="24"/>
      <c r="Y207" s="18"/>
      <c r="Z207" s="79"/>
    </row>
    <row r="208" spans="1:26" ht="12.5" x14ac:dyDescent="0.25">
      <c r="A208" s="15"/>
      <c r="O208" s="32"/>
      <c r="Q208" s="14"/>
      <c r="T208" s="67"/>
      <c r="U208" s="23"/>
      <c r="V208" s="105"/>
      <c r="X208" s="24"/>
      <c r="Y208" s="18"/>
      <c r="Z208" s="79"/>
    </row>
    <row r="209" spans="1:26" ht="12.5" x14ac:dyDescent="0.25">
      <c r="A209" s="15"/>
      <c r="O209" s="32"/>
      <c r="Q209" s="14"/>
      <c r="T209" s="67"/>
      <c r="U209" s="23"/>
      <c r="V209" s="105"/>
      <c r="X209" s="24"/>
      <c r="Y209" s="18"/>
      <c r="Z209" s="79"/>
    </row>
    <row r="210" spans="1:26" ht="12.5" x14ac:dyDescent="0.25">
      <c r="A210" s="15"/>
      <c r="O210" s="32"/>
      <c r="Q210" s="14"/>
      <c r="T210" s="67"/>
      <c r="U210" s="23"/>
      <c r="V210" s="105"/>
      <c r="X210" s="24"/>
      <c r="Y210" s="18"/>
      <c r="Z210" s="79"/>
    </row>
    <row r="211" spans="1:26" ht="12.5" x14ac:dyDescent="0.25">
      <c r="A211" s="15"/>
      <c r="O211" s="32"/>
      <c r="Q211" s="14"/>
      <c r="T211" s="67"/>
      <c r="U211" s="23"/>
      <c r="V211" s="105"/>
      <c r="X211" s="24"/>
      <c r="Y211" s="18"/>
      <c r="Z211" s="79"/>
    </row>
    <row r="212" spans="1:26" ht="12.5" x14ac:dyDescent="0.25">
      <c r="A212" s="15"/>
      <c r="O212" s="32"/>
      <c r="Q212" s="14"/>
      <c r="T212" s="67"/>
      <c r="U212" s="23"/>
      <c r="V212" s="105"/>
      <c r="X212" s="24"/>
      <c r="Y212" s="18"/>
      <c r="Z212" s="79"/>
    </row>
    <row r="213" spans="1:26" ht="12.5" x14ac:dyDescent="0.25">
      <c r="A213" s="15"/>
      <c r="O213" s="32"/>
      <c r="Q213" s="14"/>
      <c r="T213" s="67"/>
      <c r="U213" s="23"/>
      <c r="V213" s="105"/>
      <c r="X213" s="24"/>
      <c r="Y213" s="18"/>
      <c r="Z213" s="79"/>
    </row>
    <row r="214" spans="1:26" ht="12.5" x14ac:dyDescent="0.25">
      <c r="A214" s="15"/>
      <c r="O214" s="32"/>
      <c r="Q214" s="14"/>
      <c r="T214" s="67"/>
      <c r="U214" s="23"/>
      <c r="V214" s="105"/>
      <c r="X214" s="24"/>
      <c r="Y214" s="18"/>
      <c r="Z214" s="79"/>
    </row>
    <row r="215" spans="1:26" ht="12.5" x14ac:dyDescent="0.25">
      <c r="A215" s="15"/>
      <c r="O215" s="32"/>
      <c r="Q215" s="14"/>
      <c r="T215" s="67"/>
      <c r="U215" s="23"/>
      <c r="V215" s="105"/>
      <c r="X215" s="24"/>
      <c r="Y215" s="18"/>
      <c r="Z215" s="79"/>
    </row>
    <row r="216" spans="1:26" ht="12.5" x14ac:dyDescent="0.25">
      <c r="A216" s="15"/>
      <c r="O216" s="32"/>
      <c r="Q216" s="14"/>
      <c r="T216" s="67"/>
      <c r="U216" s="23"/>
      <c r="V216" s="105"/>
      <c r="X216" s="24"/>
      <c r="Y216" s="18"/>
      <c r="Z216" s="79"/>
    </row>
    <row r="217" spans="1:26" ht="12.5" x14ac:dyDescent="0.25">
      <c r="A217" s="15"/>
      <c r="O217" s="32"/>
      <c r="Q217" s="14"/>
      <c r="T217" s="67"/>
      <c r="U217" s="23"/>
      <c r="V217" s="105"/>
      <c r="X217" s="24"/>
      <c r="Y217" s="18"/>
      <c r="Z217" s="79"/>
    </row>
    <row r="218" spans="1:26" ht="12.5" x14ac:dyDescent="0.25">
      <c r="A218" s="15"/>
      <c r="O218" s="32"/>
      <c r="Q218" s="14"/>
      <c r="T218" s="67"/>
      <c r="U218" s="23"/>
      <c r="V218" s="105"/>
      <c r="X218" s="24"/>
      <c r="Y218" s="18"/>
      <c r="Z218" s="79"/>
    </row>
    <row r="219" spans="1:26" ht="12.5" x14ac:dyDescent="0.25">
      <c r="A219" s="15"/>
      <c r="O219" s="32"/>
      <c r="Q219" s="14"/>
      <c r="T219" s="67"/>
      <c r="U219" s="23"/>
      <c r="V219" s="105"/>
      <c r="X219" s="24"/>
      <c r="Y219" s="18"/>
      <c r="Z219" s="79"/>
    </row>
    <row r="220" spans="1:26" ht="12.5" x14ac:dyDescent="0.25">
      <c r="A220" s="15"/>
      <c r="O220" s="32"/>
      <c r="Q220" s="14"/>
      <c r="T220" s="67"/>
      <c r="U220" s="23"/>
      <c r="V220" s="105"/>
      <c r="X220" s="24"/>
      <c r="Y220" s="18"/>
      <c r="Z220" s="79"/>
    </row>
    <row r="221" spans="1:26" ht="12.5" x14ac:dyDescent="0.25">
      <c r="A221" s="15"/>
      <c r="O221" s="32"/>
      <c r="Q221" s="14"/>
      <c r="T221" s="67"/>
      <c r="U221" s="23"/>
      <c r="V221" s="105"/>
      <c r="X221" s="24"/>
      <c r="Y221" s="18"/>
      <c r="Z221" s="79"/>
    </row>
    <row r="222" spans="1:26" ht="12.5" x14ac:dyDescent="0.25">
      <c r="A222" s="15"/>
      <c r="O222" s="32"/>
      <c r="Q222" s="14"/>
      <c r="T222" s="67"/>
      <c r="U222" s="23"/>
      <c r="V222" s="105"/>
      <c r="X222" s="24"/>
      <c r="Y222" s="18"/>
      <c r="Z222" s="79"/>
    </row>
    <row r="223" spans="1:26" ht="12.5" x14ac:dyDescent="0.25">
      <c r="A223" s="15"/>
      <c r="O223" s="32"/>
      <c r="Q223" s="14"/>
      <c r="T223" s="67"/>
      <c r="U223" s="23"/>
      <c r="V223" s="105"/>
      <c r="X223" s="24"/>
      <c r="Y223" s="18"/>
      <c r="Z223" s="79"/>
    </row>
    <row r="224" spans="1:26" ht="12.5" x14ac:dyDescent="0.25">
      <c r="A224" s="15"/>
      <c r="O224" s="32"/>
      <c r="Q224" s="14"/>
      <c r="T224" s="67"/>
      <c r="U224" s="23"/>
      <c r="V224" s="105"/>
      <c r="X224" s="24"/>
      <c r="Y224" s="18"/>
      <c r="Z224" s="79"/>
    </row>
    <row r="225" spans="1:26" ht="12.5" x14ac:dyDescent="0.25">
      <c r="A225" s="15"/>
      <c r="O225" s="32"/>
      <c r="Q225" s="14"/>
      <c r="T225" s="67"/>
      <c r="U225" s="23"/>
      <c r="V225" s="105"/>
      <c r="X225" s="24"/>
      <c r="Y225" s="18"/>
      <c r="Z225" s="79"/>
    </row>
    <row r="226" spans="1:26" ht="12.5" x14ac:dyDescent="0.25">
      <c r="A226" s="15"/>
      <c r="O226" s="32"/>
      <c r="Q226" s="14"/>
      <c r="T226" s="67"/>
      <c r="U226" s="23"/>
      <c r="V226" s="105"/>
      <c r="X226" s="24"/>
      <c r="Y226" s="18"/>
      <c r="Z226" s="79"/>
    </row>
    <row r="227" spans="1:26" ht="12.5" x14ac:dyDescent="0.25">
      <c r="A227" s="15"/>
      <c r="O227" s="32"/>
      <c r="Q227" s="14"/>
      <c r="T227" s="67"/>
      <c r="U227" s="23"/>
      <c r="V227" s="105"/>
      <c r="X227" s="24"/>
      <c r="Y227" s="18"/>
      <c r="Z227" s="79"/>
    </row>
    <row r="228" spans="1:26" ht="12.5" x14ac:dyDescent="0.25">
      <c r="A228" s="15"/>
      <c r="O228" s="32"/>
      <c r="Q228" s="14"/>
      <c r="T228" s="67"/>
      <c r="U228" s="23"/>
      <c r="V228" s="105"/>
      <c r="X228" s="24"/>
      <c r="Y228" s="18"/>
      <c r="Z228" s="79"/>
    </row>
    <row r="229" spans="1:26" ht="12.5" x14ac:dyDescent="0.25">
      <c r="A229" s="15"/>
      <c r="O229" s="32"/>
      <c r="Q229" s="14"/>
      <c r="T229" s="67"/>
      <c r="U229" s="23"/>
      <c r="V229" s="105"/>
      <c r="X229" s="24"/>
      <c r="Y229" s="18"/>
      <c r="Z229" s="79"/>
    </row>
    <row r="230" spans="1:26" ht="12.5" x14ac:dyDescent="0.25">
      <c r="A230" s="15"/>
      <c r="O230" s="32"/>
      <c r="Q230" s="14"/>
      <c r="T230" s="67"/>
      <c r="U230" s="23"/>
      <c r="V230" s="105"/>
      <c r="X230" s="24"/>
      <c r="Y230" s="18"/>
      <c r="Z230" s="79"/>
    </row>
    <row r="231" spans="1:26" ht="12.5" x14ac:dyDescent="0.25">
      <c r="A231" s="15"/>
      <c r="O231" s="32"/>
      <c r="Q231" s="14"/>
      <c r="T231" s="67"/>
      <c r="U231" s="23"/>
      <c r="V231" s="105"/>
      <c r="X231" s="24"/>
      <c r="Y231" s="18"/>
      <c r="Z231" s="79"/>
    </row>
    <row r="232" spans="1:26" ht="12.5" x14ac:dyDescent="0.25">
      <c r="A232" s="15"/>
      <c r="O232" s="32"/>
      <c r="Q232" s="14"/>
      <c r="T232" s="67"/>
      <c r="U232" s="23"/>
      <c r="V232" s="105"/>
      <c r="X232" s="24"/>
      <c r="Y232" s="18"/>
      <c r="Z232" s="79"/>
    </row>
    <row r="233" spans="1:26" ht="12.5" x14ac:dyDescent="0.25">
      <c r="A233" s="15"/>
      <c r="O233" s="32"/>
      <c r="Q233" s="14"/>
      <c r="T233" s="67"/>
      <c r="U233" s="23"/>
      <c r="V233" s="105"/>
      <c r="X233" s="24"/>
      <c r="Y233" s="18"/>
      <c r="Z233" s="79"/>
    </row>
    <row r="234" spans="1:26" ht="12.5" x14ac:dyDescent="0.25">
      <c r="A234" s="15"/>
      <c r="O234" s="32"/>
      <c r="Q234" s="14"/>
      <c r="T234" s="67"/>
      <c r="U234" s="23"/>
      <c r="V234" s="105"/>
      <c r="X234" s="24"/>
      <c r="Y234" s="18"/>
      <c r="Z234" s="79"/>
    </row>
    <row r="235" spans="1:26" ht="12.5" x14ac:dyDescent="0.25">
      <c r="A235" s="15"/>
      <c r="O235" s="32"/>
      <c r="Q235" s="14"/>
      <c r="T235" s="67"/>
      <c r="U235" s="23"/>
      <c r="V235" s="105"/>
      <c r="X235" s="24"/>
      <c r="Y235" s="18"/>
      <c r="Z235" s="79"/>
    </row>
    <row r="236" spans="1:26" ht="12.5" x14ac:dyDescent="0.25">
      <c r="A236" s="15"/>
      <c r="O236" s="32"/>
      <c r="Q236" s="14"/>
      <c r="T236" s="67"/>
      <c r="U236" s="23"/>
      <c r="V236" s="105"/>
      <c r="X236" s="24"/>
      <c r="Y236" s="18"/>
      <c r="Z236" s="79"/>
    </row>
    <row r="237" spans="1:26" ht="12.5" x14ac:dyDescent="0.25">
      <c r="A237" s="15"/>
      <c r="O237" s="32"/>
      <c r="Q237" s="14"/>
      <c r="T237" s="67"/>
      <c r="U237" s="23"/>
      <c r="V237" s="105"/>
      <c r="X237" s="24"/>
      <c r="Y237" s="18"/>
      <c r="Z237" s="79"/>
    </row>
    <row r="238" spans="1:26" ht="12.5" x14ac:dyDescent="0.25">
      <c r="A238" s="15"/>
      <c r="O238" s="32"/>
      <c r="Q238" s="14"/>
      <c r="T238" s="67"/>
      <c r="U238" s="23"/>
      <c r="V238" s="105"/>
      <c r="X238" s="24"/>
      <c r="Y238" s="18"/>
      <c r="Z238" s="79"/>
    </row>
    <row r="239" spans="1:26" ht="12.5" x14ac:dyDescent="0.25">
      <c r="A239" s="15"/>
      <c r="O239" s="32"/>
      <c r="Q239" s="14"/>
      <c r="T239" s="67"/>
      <c r="U239" s="23"/>
      <c r="V239" s="105"/>
      <c r="X239" s="24"/>
      <c r="Y239" s="18"/>
      <c r="Z239" s="79"/>
    </row>
    <row r="240" spans="1:26" ht="12.5" x14ac:dyDescent="0.25">
      <c r="A240" s="15"/>
      <c r="O240" s="32"/>
      <c r="Q240" s="14"/>
      <c r="T240" s="67"/>
      <c r="U240" s="23"/>
      <c r="V240" s="105"/>
      <c r="X240" s="24"/>
      <c r="Y240" s="18"/>
      <c r="Z240" s="79"/>
    </row>
    <row r="241" spans="1:26" ht="12.5" x14ac:dyDescent="0.25">
      <c r="A241" s="15"/>
      <c r="O241" s="32"/>
      <c r="Q241" s="14"/>
      <c r="T241" s="67"/>
      <c r="U241" s="23"/>
      <c r="V241" s="105"/>
      <c r="X241" s="24"/>
      <c r="Y241" s="18"/>
      <c r="Z241" s="79"/>
    </row>
    <row r="242" spans="1:26" ht="12.5" x14ac:dyDescent="0.25">
      <c r="A242" s="15"/>
      <c r="O242" s="32"/>
      <c r="Q242" s="14"/>
      <c r="T242" s="67"/>
      <c r="U242" s="23"/>
      <c r="V242" s="105"/>
      <c r="X242" s="24"/>
      <c r="Y242" s="18"/>
      <c r="Z242" s="79"/>
    </row>
    <row r="243" spans="1:26" ht="12.5" x14ac:dyDescent="0.25">
      <c r="A243" s="15"/>
      <c r="O243" s="32"/>
      <c r="Q243" s="14"/>
      <c r="T243" s="67"/>
      <c r="U243" s="23"/>
      <c r="V243" s="105"/>
      <c r="X243" s="24"/>
      <c r="Y243" s="18"/>
      <c r="Z243" s="79"/>
    </row>
    <row r="244" spans="1:26" ht="12.5" x14ac:dyDescent="0.25">
      <c r="A244" s="15"/>
      <c r="O244" s="32"/>
      <c r="Q244" s="14"/>
      <c r="T244" s="67"/>
      <c r="U244" s="23"/>
      <c r="V244" s="105"/>
      <c r="X244" s="24"/>
      <c r="Y244" s="18"/>
      <c r="Z244" s="79"/>
    </row>
    <row r="245" spans="1:26" ht="12.5" x14ac:dyDescent="0.25">
      <c r="A245" s="15"/>
      <c r="O245" s="32"/>
      <c r="Q245" s="14"/>
      <c r="T245" s="67"/>
      <c r="U245" s="23"/>
      <c r="V245" s="105"/>
      <c r="X245" s="24"/>
      <c r="Y245" s="18"/>
      <c r="Z245" s="79"/>
    </row>
    <row r="246" spans="1:26" ht="12.5" x14ac:dyDescent="0.25">
      <c r="A246" s="15"/>
      <c r="O246" s="32"/>
      <c r="Q246" s="14"/>
      <c r="T246" s="67"/>
      <c r="U246" s="23"/>
      <c r="V246" s="105"/>
      <c r="X246" s="24"/>
      <c r="Y246" s="18"/>
      <c r="Z246" s="79"/>
    </row>
    <row r="247" spans="1:26" ht="12.5" x14ac:dyDescent="0.25">
      <c r="A247" s="15"/>
      <c r="O247" s="32"/>
      <c r="Q247" s="14"/>
      <c r="T247" s="67"/>
      <c r="U247" s="23"/>
      <c r="V247" s="105"/>
      <c r="X247" s="24"/>
      <c r="Y247" s="18"/>
      <c r="Z247" s="79"/>
    </row>
    <row r="248" spans="1:26" ht="12.5" x14ac:dyDescent="0.25">
      <c r="A248" s="15"/>
      <c r="O248" s="32"/>
      <c r="Q248" s="14"/>
      <c r="T248" s="67"/>
      <c r="U248" s="23"/>
      <c r="V248" s="105"/>
      <c r="X248" s="24"/>
      <c r="Y248" s="18"/>
      <c r="Z248" s="79"/>
    </row>
    <row r="249" spans="1:26" ht="12.5" x14ac:dyDescent="0.25">
      <c r="A249" s="15"/>
      <c r="O249" s="32"/>
      <c r="Q249" s="14"/>
      <c r="T249" s="67"/>
      <c r="U249" s="23"/>
      <c r="V249" s="105"/>
      <c r="X249" s="24"/>
      <c r="Y249" s="18"/>
      <c r="Z249" s="79"/>
    </row>
    <row r="250" spans="1:26" ht="12.5" x14ac:dyDescent="0.25">
      <c r="A250" s="15"/>
      <c r="O250" s="32"/>
      <c r="Q250" s="14"/>
      <c r="T250" s="67"/>
      <c r="U250" s="23"/>
      <c r="V250" s="105"/>
      <c r="X250" s="24"/>
      <c r="Y250" s="18"/>
      <c r="Z250" s="79"/>
    </row>
    <row r="251" spans="1:26" ht="12.5" x14ac:dyDescent="0.25">
      <c r="A251" s="15"/>
      <c r="O251" s="32"/>
      <c r="Q251" s="14"/>
      <c r="T251" s="67"/>
      <c r="U251" s="23"/>
      <c r="V251" s="105"/>
      <c r="X251" s="24"/>
      <c r="Y251" s="18"/>
      <c r="Z251" s="79"/>
    </row>
    <row r="252" spans="1:26" ht="12.5" x14ac:dyDescent="0.25">
      <c r="A252" s="15"/>
      <c r="O252" s="32"/>
      <c r="Q252" s="14"/>
      <c r="T252" s="67"/>
      <c r="U252" s="23"/>
      <c r="V252" s="105"/>
      <c r="X252" s="24"/>
      <c r="Y252" s="18"/>
      <c r="Z252" s="79"/>
    </row>
    <row r="253" spans="1:26" ht="12.5" x14ac:dyDescent="0.25">
      <c r="A253" s="15"/>
      <c r="O253" s="32"/>
      <c r="Q253" s="14"/>
      <c r="T253" s="67"/>
      <c r="U253" s="23"/>
      <c r="V253" s="105"/>
      <c r="X253" s="24"/>
      <c r="Y253" s="18"/>
      <c r="Z253" s="79"/>
    </row>
    <row r="254" spans="1:26" ht="12.5" x14ac:dyDescent="0.25">
      <c r="A254" s="15"/>
      <c r="O254" s="32"/>
      <c r="Q254" s="14"/>
      <c r="T254" s="67"/>
      <c r="U254" s="23"/>
      <c r="V254" s="105"/>
      <c r="X254" s="24"/>
      <c r="Y254" s="18"/>
      <c r="Z254" s="79"/>
    </row>
    <row r="255" spans="1:26" ht="12.5" x14ac:dyDescent="0.25">
      <c r="A255" s="15"/>
      <c r="O255" s="32"/>
      <c r="Q255" s="14"/>
      <c r="T255" s="67"/>
      <c r="U255" s="23"/>
      <c r="V255" s="105"/>
      <c r="X255" s="24"/>
      <c r="Y255" s="18"/>
      <c r="Z255" s="79"/>
    </row>
    <row r="256" spans="1:26" ht="12.5" x14ac:dyDescent="0.25">
      <c r="A256" s="15"/>
      <c r="O256" s="32"/>
      <c r="Q256" s="14"/>
      <c r="T256" s="67"/>
      <c r="U256" s="23"/>
      <c r="V256" s="105"/>
      <c r="X256" s="24"/>
      <c r="Y256" s="18"/>
      <c r="Z256" s="79"/>
    </row>
    <row r="257" spans="1:26" ht="12.5" x14ac:dyDescent="0.25">
      <c r="A257" s="15"/>
      <c r="O257" s="32"/>
      <c r="Q257" s="14"/>
      <c r="T257" s="67"/>
      <c r="U257" s="23"/>
      <c r="V257" s="105"/>
      <c r="X257" s="24"/>
      <c r="Y257" s="18"/>
      <c r="Z257" s="79"/>
    </row>
    <row r="258" spans="1:26" ht="12.5" x14ac:dyDescent="0.25">
      <c r="A258" s="15"/>
      <c r="O258" s="32"/>
      <c r="Q258" s="14"/>
      <c r="T258" s="67"/>
      <c r="U258" s="23"/>
      <c r="V258" s="105"/>
      <c r="X258" s="24"/>
      <c r="Y258" s="18"/>
      <c r="Z258" s="79"/>
    </row>
    <row r="259" spans="1:26" ht="12.5" x14ac:dyDescent="0.25">
      <c r="A259" s="15"/>
      <c r="O259" s="32"/>
      <c r="Q259" s="14"/>
      <c r="T259" s="67"/>
      <c r="U259" s="23"/>
      <c r="V259" s="105"/>
      <c r="X259" s="24"/>
      <c r="Y259" s="18"/>
      <c r="Z259" s="79"/>
    </row>
    <row r="260" spans="1:26" ht="12.5" x14ac:dyDescent="0.25">
      <c r="A260" s="15"/>
      <c r="O260" s="32"/>
      <c r="Q260" s="14"/>
      <c r="T260" s="67"/>
      <c r="U260" s="23"/>
      <c r="V260" s="105"/>
      <c r="X260" s="24"/>
      <c r="Y260" s="18"/>
      <c r="Z260" s="79"/>
    </row>
    <row r="261" spans="1:26" ht="12.5" x14ac:dyDescent="0.25">
      <c r="A261" s="15"/>
      <c r="O261" s="32"/>
      <c r="Q261" s="14"/>
      <c r="T261" s="67"/>
      <c r="U261" s="23"/>
      <c r="V261" s="105"/>
      <c r="X261" s="24"/>
      <c r="Y261" s="18"/>
      <c r="Z261" s="79"/>
    </row>
    <row r="262" spans="1:26" ht="12.5" x14ac:dyDescent="0.25">
      <c r="A262" s="15"/>
      <c r="O262" s="32"/>
      <c r="Q262" s="14"/>
      <c r="T262" s="67"/>
      <c r="U262" s="23"/>
      <c r="V262" s="105"/>
      <c r="X262" s="24"/>
      <c r="Y262" s="18"/>
      <c r="Z262" s="79"/>
    </row>
    <row r="263" spans="1:26" ht="12.5" x14ac:dyDescent="0.25">
      <c r="A263" s="15"/>
      <c r="O263" s="32"/>
      <c r="Q263" s="14"/>
      <c r="T263" s="67"/>
      <c r="U263" s="23"/>
      <c r="V263" s="105"/>
      <c r="X263" s="24"/>
      <c r="Y263" s="18"/>
      <c r="Z263" s="79"/>
    </row>
    <row r="264" spans="1:26" ht="12.5" x14ac:dyDescent="0.25">
      <c r="A264" s="15"/>
      <c r="O264" s="32"/>
      <c r="Q264" s="14"/>
      <c r="T264" s="67"/>
      <c r="U264" s="23"/>
      <c r="V264" s="105"/>
      <c r="X264" s="24"/>
      <c r="Y264" s="18"/>
    </row>
    <row r="265" spans="1:26" ht="12.5" x14ac:dyDescent="0.25">
      <c r="A265" s="15"/>
      <c r="O265" s="32"/>
      <c r="Q265" s="14"/>
      <c r="T265" s="67"/>
      <c r="U265" s="23"/>
      <c r="V265" s="105"/>
      <c r="X265" s="24"/>
      <c r="Y265" s="18"/>
    </row>
    <row r="266" spans="1:26" ht="12.5" x14ac:dyDescent="0.25">
      <c r="A266" s="15"/>
      <c r="O266" s="32"/>
      <c r="Q266" s="14"/>
      <c r="T266" s="67"/>
      <c r="U266" s="23"/>
      <c r="V266" s="105"/>
      <c r="X266" s="24"/>
      <c r="Y266" s="18"/>
    </row>
    <row r="267" spans="1:26" ht="12.5" x14ac:dyDescent="0.25">
      <c r="A267" s="15"/>
      <c r="O267" s="32"/>
      <c r="Q267" s="14"/>
      <c r="T267" s="67"/>
      <c r="U267" s="23"/>
      <c r="V267" s="105"/>
      <c r="X267" s="24"/>
      <c r="Y267" s="18"/>
    </row>
    <row r="268" spans="1:26" ht="12.5" x14ac:dyDescent="0.25">
      <c r="A268" s="15"/>
      <c r="O268" s="32"/>
      <c r="Q268" s="14"/>
      <c r="T268" s="67"/>
      <c r="U268" s="23"/>
      <c r="V268" s="105"/>
      <c r="X268" s="24"/>
      <c r="Y268" s="18"/>
    </row>
    <row r="269" spans="1:26" ht="12.5" x14ac:dyDescent="0.25">
      <c r="A269" s="15"/>
      <c r="O269" s="32"/>
      <c r="Q269" s="14"/>
      <c r="T269" s="67"/>
      <c r="U269" s="23"/>
      <c r="V269" s="105"/>
      <c r="X269" s="24"/>
      <c r="Y269" s="18"/>
    </row>
    <row r="270" spans="1:26" ht="12.5" x14ac:dyDescent="0.25">
      <c r="A270" s="15"/>
      <c r="O270" s="32"/>
      <c r="Q270" s="14"/>
      <c r="T270" s="67"/>
      <c r="U270" s="23"/>
      <c r="V270" s="105"/>
      <c r="X270" s="24"/>
      <c r="Y270" s="18"/>
    </row>
    <row r="271" spans="1:26" ht="12.5" x14ac:dyDescent="0.25">
      <c r="A271" s="15"/>
      <c r="O271" s="32"/>
      <c r="Q271" s="14"/>
      <c r="T271" s="67"/>
      <c r="U271" s="23"/>
      <c r="V271" s="105"/>
      <c r="X271" s="24"/>
      <c r="Y271" s="18"/>
    </row>
    <row r="272" spans="1:26" ht="12.5" x14ac:dyDescent="0.25">
      <c r="A272" s="15"/>
      <c r="O272" s="32"/>
      <c r="Q272" s="14"/>
      <c r="T272" s="67"/>
      <c r="U272" s="23"/>
      <c r="V272" s="105"/>
      <c r="X272" s="24"/>
      <c r="Y272" s="18"/>
    </row>
    <row r="273" spans="1:25" ht="12.5" x14ac:dyDescent="0.25">
      <c r="A273" s="15"/>
      <c r="O273" s="32"/>
      <c r="Q273" s="14"/>
      <c r="T273" s="67"/>
      <c r="U273" s="23"/>
      <c r="V273" s="105"/>
      <c r="X273" s="24"/>
      <c r="Y273" s="18"/>
    </row>
    <row r="274" spans="1:25" ht="12.5" x14ac:dyDescent="0.25">
      <c r="A274" s="15"/>
      <c r="O274" s="32"/>
      <c r="Q274" s="14"/>
      <c r="T274" s="67"/>
      <c r="U274" s="23"/>
      <c r="V274" s="105"/>
      <c r="X274" s="24"/>
      <c r="Y274" s="18"/>
    </row>
    <row r="275" spans="1:25" ht="12.5" x14ac:dyDescent="0.25">
      <c r="A275" s="15"/>
      <c r="O275" s="32"/>
      <c r="Q275" s="14"/>
      <c r="T275" s="67"/>
      <c r="U275" s="23"/>
      <c r="V275" s="105"/>
      <c r="X275" s="24"/>
      <c r="Y275" s="18"/>
    </row>
    <row r="276" spans="1:25" ht="12.5" x14ac:dyDescent="0.25">
      <c r="A276" s="15"/>
      <c r="O276" s="32"/>
      <c r="Q276" s="14"/>
      <c r="T276" s="67"/>
      <c r="U276" s="23"/>
      <c r="V276" s="105"/>
      <c r="X276" s="24"/>
      <c r="Y276" s="18"/>
    </row>
    <row r="277" spans="1:25" ht="12.5" x14ac:dyDescent="0.25">
      <c r="A277" s="15"/>
      <c r="O277" s="32"/>
      <c r="Q277" s="14"/>
      <c r="T277" s="67"/>
      <c r="U277" s="23"/>
      <c r="V277" s="105"/>
      <c r="X277" s="24"/>
      <c r="Y277" s="18"/>
    </row>
    <row r="278" spans="1:25" ht="12.5" x14ac:dyDescent="0.25">
      <c r="A278" s="15"/>
      <c r="O278" s="32"/>
      <c r="Q278" s="14"/>
      <c r="T278" s="67"/>
      <c r="U278" s="23"/>
      <c r="V278" s="105"/>
      <c r="X278" s="24"/>
      <c r="Y278" s="18"/>
    </row>
    <row r="279" spans="1:25" ht="12.5" x14ac:dyDescent="0.25">
      <c r="A279" s="15"/>
      <c r="O279" s="32"/>
      <c r="Q279" s="14"/>
      <c r="T279" s="67"/>
      <c r="U279" s="23"/>
      <c r="V279" s="105"/>
      <c r="X279" s="24"/>
      <c r="Y279" s="18"/>
    </row>
    <row r="280" spans="1:25" ht="12.5" x14ac:dyDescent="0.25">
      <c r="A280" s="15"/>
      <c r="O280" s="32"/>
      <c r="Q280" s="14"/>
      <c r="T280" s="67"/>
      <c r="U280" s="23"/>
      <c r="V280" s="105"/>
      <c r="X280" s="24"/>
      <c r="Y280" s="18"/>
    </row>
    <row r="281" spans="1:25" ht="12.5" x14ac:dyDescent="0.25">
      <c r="A281" s="15"/>
      <c r="O281" s="32"/>
      <c r="Q281" s="14"/>
      <c r="T281" s="67"/>
      <c r="U281" s="23"/>
      <c r="V281" s="105"/>
      <c r="X281" s="24"/>
      <c r="Y281" s="18"/>
    </row>
    <row r="282" spans="1:25" ht="12.5" x14ac:dyDescent="0.25">
      <c r="A282" s="15"/>
      <c r="O282" s="32"/>
      <c r="Q282" s="14"/>
      <c r="T282" s="67"/>
      <c r="U282" s="23"/>
      <c r="V282" s="105"/>
      <c r="X282" s="24"/>
      <c r="Y282" s="18"/>
    </row>
    <row r="283" spans="1:25" ht="12.5" x14ac:dyDescent="0.25">
      <c r="A283" s="15"/>
      <c r="O283" s="32"/>
      <c r="Q283" s="14"/>
      <c r="T283" s="67"/>
      <c r="U283" s="23"/>
      <c r="V283" s="105"/>
      <c r="X283" s="24"/>
      <c r="Y283" s="18"/>
    </row>
    <row r="284" spans="1:25" ht="12.5" x14ac:dyDescent="0.25">
      <c r="A284" s="15"/>
      <c r="O284" s="32"/>
      <c r="Q284" s="14"/>
      <c r="T284" s="67"/>
      <c r="U284" s="23"/>
      <c r="V284" s="105"/>
      <c r="X284" s="24"/>
      <c r="Y284" s="18"/>
    </row>
    <row r="285" spans="1:25" ht="12.5" x14ac:dyDescent="0.25">
      <c r="A285" s="15"/>
      <c r="O285" s="32"/>
      <c r="Q285" s="14"/>
      <c r="T285" s="67"/>
      <c r="U285" s="23"/>
      <c r="V285" s="105"/>
      <c r="X285" s="24"/>
      <c r="Y285" s="18"/>
    </row>
    <row r="286" spans="1:25" ht="12.5" x14ac:dyDescent="0.25">
      <c r="A286" s="15"/>
      <c r="O286" s="32"/>
      <c r="Q286" s="14"/>
      <c r="T286" s="67"/>
      <c r="U286" s="23"/>
      <c r="V286" s="105"/>
      <c r="X286" s="24"/>
      <c r="Y286" s="18"/>
    </row>
    <row r="287" spans="1:25" ht="12.5" x14ac:dyDescent="0.25">
      <c r="A287" s="15"/>
      <c r="O287" s="32"/>
      <c r="Q287" s="14"/>
      <c r="T287" s="67"/>
      <c r="U287" s="23"/>
      <c r="V287" s="105"/>
      <c r="X287" s="24"/>
      <c r="Y287" s="18"/>
    </row>
    <row r="288" spans="1:25" ht="12.5" x14ac:dyDescent="0.25">
      <c r="A288" s="15"/>
      <c r="O288" s="32"/>
      <c r="Q288" s="14"/>
      <c r="T288" s="67"/>
      <c r="U288" s="23"/>
      <c r="V288" s="105"/>
      <c r="X288" s="24"/>
      <c r="Y288" s="18"/>
    </row>
    <row r="289" spans="1:25" ht="12.5" x14ac:dyDescent="0.25">
      <c r="A289" s="15"/>
      <c r="O289" s="32"/>
      <c r="Q289" s="14"/>
      <c r="T289" s="67"/>
      <c r="U289" s="23"/>
      <c r="V289" s="105"/>
      <c r="X289" s="24"/>
      <c r="Y289" s="18"/>
    </row>
    <row r="290" spans="1:25" ht="12.5" x14ac:dyDescent="0.25">
      <c r="A290" s="15"/>
      <c r="O290" s="32"/>
      <c r="Q290" s="14"/>
      <c r="T290" s="67"/>
      <c r="U290" s="23"/>
      <c r="V290" s="105"/>
      <c r="X290" s="24"/>
      <c r="Y290" s="18"/>
    </row>
    <row r="291" spans="1:25" ht="12.5" x14ac:dyDescent="0.25">
      <c r="A291" s="15"/>
      <c r="O291" s="32"/>
      <c r="Q291" s="14"/>
      <c r="T291" s="67"/>
      <c r="U291" s="23"/>
      <c r="V291" s="105"/>
      <c r="X291" s="24"/>
      <c r="Y291" s="18"/>
    </row>
    <row r="292" spans="1:25" ht="12.5" x14ac:dyDescent="0.25">
      <c r="A292" s="15"/>
      <c r="O292" s="32"/>
      <c r="Q292" s="14"/>
      <c r="T292" s="67"/>
      <c r="U292" s="23"/>
      <c r="V292" s="105"/>
      <c r="X292" s="24"/>
      <c r="Y292" s="18"/>
    </row>
    <row r="293" spans="1:25" ht="12.5" x14ac:dyDescent="0.25">
      <c r="A293" s="15"/>
      <c r="O293" s="32"/>
      <c r="Q293" s="14"/>
      <c r="T293" s="67"/>
      <c r="U293" s="23"/>
      <c r="V293" s="105"/>
      <c r="X293" s="24"/>
      <c r="Y293" s="18"/>
    </row>
    <row r="294" spans="1:25" ht="12.5" x14ac:dyDescent="0.25">
      <c r="A294" s="15"/>
      <c r="O294" s="32"/>
      <c r="Q294" s="14"/>
      <c r="T294" s="67"/>
      <c r="U294" s="23"/>
      <c r="V294" s="105"/>
      <c r="X294" s="24"/>
      <c r="Y294" s="18"/>
    </row>
    <row r="295" spans="1:25" ht="12.5" x14ac:dyDescent="0.25">
      <c r="A295" s="15"/>
      <c r="O295" s="32"/>
      <c r="Q295" s="14"/>
      <c r="T295" s="67"/>
      <c r="U295" s="23"/>
      <c r="V295" s="105"/>
      <c r="X295" s="24"/>
      <c r="Y295" s="18"/>
    </row>
    <row r="296" spans="1:25" ht="12.5" x14ac:dyDescent="0.25">
      <c r="A296" s="15"/>
      <c r="O296" s="32"/>
      <c r="Q296" s="14"/>
      <c r="T296" s="67"/>
      <c r="U296" s="23"/>
      <c r="V296" s="105"/>
      <c r="X296" s="24"/>
      <c r="Y296" s="18"/>
    </row>
    <row r="297" spans="1:25" ht="12.5" x14ac:dyDescent="0.25">
      <c r="A297" s="15"/>
      <c r="O297" s="32"/>
      <c r="Q297" s="14"/>
      <c r="T297" s="67"/>
      <c r="U297" s="23"/>
      <c r="V297" s="105"/>
      <c r="X297" s="24"/>
      <c r="Y297" s="18"/>
    </row>
    <row r="298" spans="1:25" ht="12.5" x14ac:dyDescent="0.25">
      <c r="A298" s="15"/>
      <c r="O298" s="32"/>
      <c r="Q298" s="14"/>
      <c r="T298" s="67"/>
      <c r="U298" s="23"/>
      <c r="V298" s="105"/>
      <c r="X298" s="24"/>
      <c r="Y298" s="18"/>
    </row>
    <row r="299" spans="1:25" ht="12.5" x14ac:dyDescent="0.25">
      <c r="A299" s="15"/>
      <c r="O299" s="32"/>
      <c r="Q299" s="14"/>
      <c r="T299" s="67"/>
      <c r="U299" s="23"/>
      <c r="V299" s="105"/>
      <c r="X299" s="24"/>
      <c r="Y299" s="18"/>
    </row>
    <row r="300" spans="1:25" ht="12.5" x14ac:dyDescent="0.25">
      <c r="A300" s="15"/>
      <c r="O300" s="32"/>
      <c r="Q300" s="14"/>
      <c r="T300" s="67"/>
      <c r="U300" s="23"/>
      <c r="V300" s="105"/>
      <c r="X300" s="24"/>
      <c r="Y300" s="18"/>
    </row>
    <row r="301" spans="1:25" ht="12.5" x14ac:dyDescent="0.25">
      <c r="A301" s="15"/>
      <c r="O301" s="32"/>
      <c r="Q301" s="14"/>
      <c r="T301" s="67"/>
      <c r="U301" s="23"/>
      <c r="V301" s="105"/>
      <c r="X301" s="24"/>
      <c r="Y301" s="18"/>
    </row>
    <row r="302" spans="1:25" ht="12.5" x14ac:dyDescent="0.25">
      <c r="A302" s="15"/>
      <c r="O302" s="32"/>
      <c r="Q302" s="14"/>
      <c r="T302" s="67"/>
      <c r="U302" s="23"/>
      <c r="V302" s="105"/>
      <c r="X302" s="24"/>
      <c r="Y302" s="18"/>
    </row>
    <row r="303" spans="1:25" ht="12.5" x14ac:dyDescent="0.25">
      <c r="A303" s="15"/>
      <c r="O303" s="32"/>
      <c r="Q303" s="14"/>
      <c r="T303" s="67"/>
      <c r="U303" s="23"/>
      <c r="V303" s="105"/>
      <c r="X303" s="24"/>
      <c r="Y303" s="18"/>
    </row>
    <row r="304" spans="1:25" ht="12.5" x14ac:dyDescent="0.25">
      <c r="A304" s="15"/>
      <c r="O304" s="32"/>
      <c r="Q304" s="14"/>
      <c r="T304" s="67"/>
      <c r="U304" s="23"/>
      <c r="V304" s="105"/>
      <c r="X304" s="24"/>
      <c r="Y304" s="18"/>
    </row>
    <row r="305" spans="1:25" ht="12.5" x14ac:dyDescent="0.25">
      <c r="A305" s="15"/>
      <c r="O305" s="32"/>
      <c r="Q305" s="14"/>
      <c r="T305" s="67"/>
      <c r="U305" s="23"/>
      <c r="V305" s="105"/>
      <c r="X305" s="24"/>
      <c r="Y305" s="18"/>
    </row>
    <row r="306" spans="1:25" ht="12.5" x14ac:dyDescent="0.25">
      <c r="A306" s="15"/>
      <c r="O306" s="32"/>
      <c r="Q306" s="14"/>
      <c r="T306" s="67"/>
      <c r="U306" s="23"/>
      <c r="V306" s="105"/>
      <c r="X306" s="24"/>
      <c r="Y306" s="18"/>
    </row>
    <row r="307" spans="1:25" ht="12.5" x14ac:dyDescent="0.25">
      <c r="A307" s="15"/>
      <c r="O307" s="32"/>
      <c r="Q307" s="14"/>
      <c r="T307" s="67"/>
      <c r="U307" s="23"/>
      <c r="V307" s="105"/>
      <c r="X307" s="24"/>
      <c r="Y307" s="18"/>
    </row>
    <row r="308" spans="1:25" ht="12.5" x14ac:dyDescent="0.25">
      <c r="A308" s="15"/>
      <c r="O308" s="32"/>
      <c r="Q308" s="14"/>
      <c r="T308" s="67"/>
      <c r="U308" s="23"/>
      <c r="V308" s="105"/>
      <c r="X308" s="24"/>
      <c r="Y308" s="18"/>
    </row>
    <row r="309" spans="1:25" ht="12.5" x14ac:dyDescent="0.25">
      <c r="A309" s="15"/>
      <c r="O309" s="32"/>
      <c r="Q309" s="14"/>
      <c r="T309" s="67"/>
      <c r="U309" s="23"/>
      <c r="V309" s="105"/>
      <c r="X309" s="24"/>
      <c r="Y309" s="18"/>
    </row>
    <row r="310" spans="1:25" ht="12.5" x14ac:dyDescent="0.25">
      <c r="A310" s="15"/>
      <c r="O310" s="32"/>
      <c r="Q310" s="14"/>
      <c r="T310" s="67"/>
      <c r="U310" s="23"/>
      <c r="V310" s="105"/>
      <c r="X310" s="24"/>
      <c r="Y310" s="18"/>
    </row>
    <row r="311" spans="1:25" ht="12.5" x14ac:dyDescent="0.25">
      <c r="A311" s="15"/>
      <c r="O311" s="32"/>
      <c r="Q311" s="14"/>
      <c r="T311" s="67"/>
      <c r="U311" s="23"/>
      <c r="V311" s="105"/>
      <c r="X311" s="24"/>
      <c r="Y311" s="18"/>
    </row>
    <row r="312" spans="1:25" ht="12.5" x14ac:dyDescent="0.25">
      <c r="A312" s="15"/>
      <c r="O312" s="32"/>
      <c r="Q312" s="14"/>
      <c r="T312" s="67"/>
      <c r="U312" s="23"/>
      <c r="V312" s="105"/>
      <c r="X312" s="24"/>
      <c r="Y312" s="18"/>
    </row>
    <row r="313" spans="1:25" ht="12.5" x14ac:dyDescent="0.25">
      <c r="A313" s="15"/>
      <c r="O313" s="32"/>
      <c r="Q313" s="14"/>
      <c r="T313" s="67"/>
      <c r="U313" s="23"/>
      <c r="V313" s="105"/>
      <c r="X313" s="24"/>
      <c r="Y313" s="18"/>
    </row>
    <row r="314" spans="1:25" ht="12.5" x14ac:dyDescent="0.25">
      <c r="A314" s="15"/>
      <c r="O314" s="32"/>
      <c r="Q314" s="14"/>
      <c r="T314" s="67"/>
      <c r="U314" s="23"/>
      <c r="V314" s="105"/>
      <c r="X314" s="24"/>
      <c r="Y314" s="18"/>
    </row>
    <row r="315" spans="1:25" ht="12.5" x14ac:dyDescent="0.25">
      <c r="A315" s="15"/>
      <c r="O315" s="32"/>
      <c r="Q315" s="14"/>
      <c r="T315" s="67"/>
      <c r="U315" s="23"/>
      <c r="V315" s="105"/>
      <c r="X315" s="24"/>
      <c r="Y315" s="18"/>
    </row>
    <row r="316" spans="1:25" ht="12.5" x14ac:dyDescent="0.25">
      <c r="A316" s="15"/>
      <c r="O316" s="32"/>
      <c r="Q316" s="14"/>
      <c r="T316" s="67"/>
      <c r="U316" s="23"/>
      <c r="V316" s="105"/>
      <c r="X316" s="24"/>
      <c r="Y316" s="18"/>
    </row>
    <row r="317" spans="1:25" ht="12.5" x14ac:dyDescent="0.25">
      <c r="A317" s="15"/>
      <c r="O317" s="32"/>
      <c r="Q317" s="14"/>
      <c r="T317" s="67"/>
      <c r="U317" s="23"/>
      <c r="V317" s="105"/>
      <c r="X317" s="24"/>
      <c r="Y317" s="18"/>
    </row>
    <row r="318" spans="1:25" ht="12.5" x14ac:dyDescent="0.25">
      <c r="A318" s="15"/>
      <c r="O318" s="32"/>
      <c r="Q318" s="14"/>
      <c r="T318" s="67"/>
      <c r="U318" s="23"/>
      <c r="V318" s="105"/>
      <c r="X318" s="24"/>
      <c r="Y318" s="18"/>
    </row>
    <row r="319" spans="1:25" ht="12.5" x14ac:dyDescent="0.25">
      <c r="A319" s="15"/>
      <c r="O319" s="32"/>
      <c r="Q319" s="14"/>
      <c r="T319" s="67"/>
      <c r="U319" s="23"/>
      <c r="V319" s="105"/>
      <c r="X319" s="24"/>
      <c r="Y319" s="18"/>
    </row>
    <row r="320" spans="1:25" ht="12.5" x14ac:dyDescent="0.25">
      <c r="A320" s="15"/>
      <c r="O320" s="32"/>
      <c r="Q320" s="14"/>
      <c r="T320" s="67"/>
      <c r="U320" s="23"/>
      <c r="V320" s="105"/>
      <c r="X320" s="24"/>
      <c r="Y320" s="18"/>
    </row>
    <row r="321" spans="1:25" ht="12.5" x14ac:dyDescent="0.25">
      <c r="A321" s="15"/>
      <c r="O321" s="32"/>
      <c r="Q321" s="14"/>
      <c r="T321" s="67"/>
      <c r="U321" s="23"/>
      <c r="V321" s="105"/>
      <c r="X321" s="24"/>
      <c r="Y321" s="18"/>
    </row>
    <row r="322" spans="1:25" ht="12.5" x14ac:dyDescent="0.25">
      <c r="A322" s="15"/>
      <c r="O322" s="32"/>
      <c r="Q322" s="14"/>
      <c r="T322" s="67"/>
      <c r="U322" s="23"/>
      <c r="V322" s="105"/>
      <c r="X322" s="24"/>
      <c r="Y322" s="18"/>
    </row>
    <row r="323" spans="1:25" ht="12.5" x14ac:dyDescent="0.25">
      <c r="A323" s="15"/>
      <c r="O323" s="32"/>
      <c r="Q323" s="14"/>
      <c r="T323" s="67"/>
      <c r="U323" s="23"/>
      <c r="V323" s="105"/>
      <c r="X323" s="24"/>
      <c r="Y323" s="18"/>
    </row>
    <row r="324" spans="1:25" ht="12.5" x14ac:dyDescent="0.25">
      <c r="A324" s="15"/>
      <c r="O324" s="32"/>
      <c r="Q324" s="14"/>
      <c r="T324" s="67"/>
      <c r="U324" s="23"/>
      <c r="V324" s="105"/>
      <c r="X324" s="24"/>
      <c r="Y324" s="18"/>
    </row>
    <row r="325" spans="1:25" ht="12.5" x14ac:dyDescent="0.25">
      <c r="A325" s="15"/>
      <c r="O325" s="32"/>
      <c r="Q325" s="14"/>
      <c r="T325" s="67"/>
      <c r="U325" s="23"/>
      <c r="V325" s="105"/>
      <c r="X325" s="24"/>
      <c r="Y325" s="18"/>
    </row>
    <row r="326" spans="1:25" ht="12.5" x14ac:dyDescent="0.25">
      <c r="A326" s="15"/>
      <c r="O326" s="32"/>
      <c r="Q326" s="14"/>
      <c r="T326" s="67"/>
      <c r="U326" s="23"/>
      <c r="V326" s="105"/>
      <c r="X326" s="24"/>
      <c r="Y326" s="18"/>
    </row>
    <row r="327" spans="1:25" ht="12.5" x14ac:dyDescent="0.25">
      <c r="A327" s="15"/>
      <c r="O327" s="32"/>
      <c r="Q327" s="14"/>
      <c r="T327" s="67"/>
      <c r="U327" s="23"/>
      <c r="V327" s="105"/>
      <c r="X327" s="24"/>
      <c r="Y327" s="18"/>
    </row>
    <row r="328" spans="1:25" ht="12.5" x14ac:dyDescent="0.25">
      <c r="A328" s="15"/>
      <c r="O328" s="32"/>
      <c r="Q328" s="14"/>
      <c r="T328" s="67"/>
      <c r="U328" s="23"/>
      <c r="V328" s="105"/>
      <c r="X328" s="24"/>
      <c r="Y328" s="18"/>
    </row>
    <row r="329" spans="1:25" ht="12.5" x14ac:dyDescent="0.25">
      <c r="A329" s="15"/>
      <c r="O329" s="32"/>
      <c r="Q329" s="14"/>
      <c r="T329" s="67"/>
      <c r="U329" s="23"/>
      <c r="V329" s="105"/>
      <c r="X329" s="24"/>
      <c r="Y329" s="18"/>
    </row>
    <row r="330" spans="1:25" ht="12.5" x14ac:dyDescent="0.25">
      <c r="A330" s="15"/>
      <c r="O330" s="32"/>
      <c r="Q330" s="14"/>
      <c r="T330" s="67"/>
      <c r="U330" s="23"/>
      <c r="V330" s="105"/>
      <c r="X330" s="24"/>
      <c r="Y330" s="18"/>
    </row>
    <row r="331" spans="1:25" ht="12.5" x14ac:dyDescent="0.25">
      <c r="A331" s="15"/>
      <c r="O331" s="32"/>
      <c r="Q331" s="14"/>
      <c r="T331" s="67"/>
      <c r="U331" s="23"/>
      <c r="V331" s="105"/>
      <c r="X331" s="24"/>
      <c r="Y331" s="18"/>
    </row>
    <row r="332" spans="1:25" ht="12.5" x14ac:dyDescent="0.25">
      <c r="A332" s="15"/>
      <c r="O332" s="32"/>
      <c r="Q332" s="14"/>
      <c r="T332" s="67"/>
      <c r="U332" s="23"/>
      <c r="V332" s="105"/>
      <c r="X332" s="24"/>
      <c r="Y332" s="18"/>
    </row>
    <row r="333" spans="1:25" ht="12.5" x14ac:dyDescent="0.25">
      <c r="A333" s="15"/>
      <c r="O333" s="32"/>
      <c r="Q333" s="14"/>
      <c r="T333" s="67"/>
      <c r="U333" s="23"/>
      <c r="V333" s="105"/>
      <c r="X333" s="24"/>
      <c r="Y333" s="18"/>
    </row>
    <row r="334" spans="1:25" ht="12.5" x14ac:dyDescent="0.25">
      <c r="A334" s="15"/>
      <c r="O334" s="32"/>
      <c r="Q334" s="14"/>
      <c r="T334" s="67"/>
      <c r="U334" s="23"/>
      <c r="V334" s="105"/>
      <c r="X334" s="24"/>
      <c r="Y334" s="18"/>
    </row>
    <row r="335" spans="1:25" ht="12.5" x14ac:dyDescent="0.25">
      <c r="A335" s="15"/>
      <c r="O335" s="32"/>
      <c r="Q335" s="14"/>
      <c r="T335" s="67"/>
      <c r="U335" s="23"/>
      <c r="V335" s="105"/>
      <c r="X335" s="24"/>
      <c r="Y335" s="18"/>
    </row>
    <row r="336" spans="1:25" ht="12.5" x14ac:dyDescent="0.25">
      <c r="A336" s="15"/>
      <c r="O336" s="32"/>
      <c r="Q336" s="14"/>
      <c r="T336" s="67"/>
      <c r="U336" s="23"/>
      <c r="V336" s="105"/>
      <c r="X336" s="24"/>
      <c r="Y336" s="18"/>
    </row>
    <row r="337" spans="1:25" ht="12.5" x14ac:dyDescent="0.25">
      <c r="A337" s="15"/>
      <c r="O337" s="32"/>
      <c r="Q337" s="14"/>
      <c r="T337" s="67"/>
      <c r="U337" s="23"/>
      <c r="V337" s="105"/>
      <c r="X337" s="24"/>
      <c r="Y337" s="18"/>
    </row>
    <row r="338" spans="1:25" ht="12.5" x14ac:dyDescent="0.25">
      <c r="A338" s="15"/>
      <c r="O338" s="32"/>
      <c r="Q338" s="14"/>
      <c r="T338" s="67"/>
      <c r="U338" s="23"/>
      <c r="V338" s="105"/>
      <c r="X338" s="24"/>
      <c r="Y338" s="18"/>
    </row>
    <row r="339" spans="1:25" ht="12.5" x14ac:dyDescent="0.25">
      <c r="A339" s="15"/>
      <c r="O339" s="32"/>
      <c r="Q339" s="14"/>
      <c r="T339" s="67"/>
      <c r="U339" s="23"/>
      <c r="V339" s="105"/>
      <c r="X339" s="24"/>
      <c r="Y339" s="18"/>
    </row>
    <row r="340" spans="1:25" ht="12.5" x14ac:dyDescent="0.25">
      <c r="A340" s="15"/>
      <c r="O340" s="32"/>
      <c r="Q340" s="14"/>
      <c r="T340" s="67"/>
      <c r="U340" s="23"/>
      <c r="V340" s="105"/>
      <c r="X340" s="24"/>
      <c r="Y340" s="18"/>
    </row>
    <row r="341" spans="1:25" ht="12.5" x14ac:dyDescent="0.25">
      <c r="A341" s="15"/>
      <c r="O341" s="32"/>
      <c r="Q341" s="14"/>
      <c r="T341" s="67"/>
      <c r="U341" s="23"/>
      <c r="V341" s="105"/>
      <c r="X341" s="24"/>
      <c r="Y341" s="18"/>
    </row>
    <row r="342" spans="1:25" ht="12.5" x14ac:dyDescent="0.25">
      <c r="A342" s="15"/>
      <c r="O342" s="32"/>
      <c r="Q342" s="14"/>
      <c r="T342" s="67"/>
      <c r="U342" s="23"/>
      <c r="V342" s="105"/>
      <c r="X342" s="24"/>
      <c r="Y342" s="18"/>
    </row>
    <row r="343" spans="1:25" ht="12.5" x14ac:dyDescent="0.25">
      <c r="A343" s="15"/>
      <c r="O343" s="32"/>
      <c r="Q343" s="14"/>
      <c r="T343" s="67"/>
      <c r="U343" s="23"/>
      <c r="V343" s="105"/>
      <c r="X343" s="24"/>
      <c r="Y343" s="18"/>
    </row>
    <row r="344" spans="1:25" ht="12.5" x14ac:dyDescent="0.25">
      <c r="A344" s="15"/>
      <c r="O344" s="32"/>
      <c r="Q344" s="14"/>
      <c r="T344" s="67"/>
      <c r="U344" s="23"/>
      <c r="V344" s="105"/>
      <c r="X344" s="24"/>
      <c r="Y344" s="18"/>
    </row>
    <row r="345" spans="1:25" ht="12.5" x14ac:dyDescent="0.25">
      <c r="A345" s="15"/>
      <c r="O345" s="32"/>
      <c r="Q345" s="14"/>
      <c r="T345" s="67"/>
      <c r="U345" s="23"/>
      <c r="V345" s="105"/>
      <c r="X345" s="24"/>
      <c r="Y345" s="18"/>
    </row>
    <row r="346" spans="1:25" ht="12.5" x14ac:dyDescent="0.25">
      <c r="A346" s="15"/>
      <c r="O346" s="32"/>
      <c r="Q346" s="14"/>
      <c r="T346" s="67"/>
      <c r="U346" s="23"/>
      <c r="V346" s="105"/>
      <c r="X346" s="24"/>
      <c r="Y346" s="18"/>
    </row>
    <row r="347" spans="1:25" ht="12.5" x14ac:dyDescent="0.25">
      <c r="A347" s="15"/>
      <c r="O347" s="32"/>
      <c r="Q347" s="14"/>
      <c r="T347" s="67"/>
      <c r="U347" s="23"/>
      <c r="V347" s="105"/>
      <c r="X347" s="24"/>
      <c r="Y347" s="18"/>
    </row>
    <row r="348" spans="1:25" ht="12.5" x14ac:dyDescent="0.25">
      <c r="A348" s="15"/>
      <c r="O348" s="32"/>
      <c r="Q348" s="14"/>
      <c r="T348" s="67"/>
      <c r="U348" s="23"/>
      <c r="V348" s="105"/>
      <c r="X348" s="24"/>
      <c r="Y348" s="18"/>
    </row>
    <row r="349" spans="1:25" ht="12.5" x14ac:dyDescent="0.25">
      <c r="A349" s="15"/>
      <c r="O349" s="32"/>
      <c r="Q349" s="14"/>
      <c r="T349" s="67"/>
      <c r="U349" s="23"/>
      <c r="V349" s="105"/>
      <c r="X349" s="24"/>
      <c r="Y349" s="18"/>
    </row>
    <row r="350" spans="1:25" ht="12.5" x14ac:dyDescent="0.25">
      <c r="A350" s="15"/>
      <c r="O350" s="32"/>
      <c r="Q350" s="14"/>
      <c r="T350" s="67"/>
      <c r="U350" s="23"/>
      <c r="V350" s="105"/>
      <c r="X350" s="24"/>
      <c r="Y350" s="18"/>
    </row>
    <row r="351" spans="1:25" ht="12.5" x14ac:dyDescent="0.25">
      <c r="A351" s="15"/>
      <c r="O351" s="32"/>
      <c r="Q351" s="14"/>
      <c r="T351" s="67"/>
      <c r="U351" s="23"/>
      <c r="V351" s="105"/>
      <c r="X351" s="24"/>
      <c r="Y351" s="18"/>
    </row>
    <row r="352" spans="1:25" ht="12.5" x14ac:dyDescent="0.25">
      <c r="A352" s="15"/>
      <c r="O352" s="32"/>
      <c r="Q352" s="14"/>
      <c r="T352" s="67"/>
      <c r="U352" s="23"/>
      <c r="V352" s="105"/>
      <c r="X352" s="24"/>
      <c r="Y352" s="18"/>
    </row>
    <row r="353" spans="1:25" ht="12.5" x14ac:dyDescent="0.25">
      <c r="A353" s="15"/>
      <c r="O353" s="32"/>
      <c r="Q353" s="14"/>
      <c r="T353" s="67"/>
      <c r="U353" s="23"/>
      <c r="V353" s="105"/>
      <c r="X353" s="24"/>
      <c r="Y353" s="18"/>
    </row>
    <row r="354" spans="1:25" ht="12.5" x14ac:dyDescent="0.25">
      <c r="A354" s="15"/>
      <c r="O354" s="32"/>
      <c r="Q354" s="14"/>
      <c r="T354" s="67"/>
      <c r="U354" s="23"/>
      <c r="V354" s="105"/>
      <c r="X354" s="24"/>
      <c r="Y354" s="18"/>
    </row>
    <row r="355" spans="1:25" ht="12.5" x14ac:dyDescent="0.25">
      <c r="A355" s="15"/>
      <c r="O355" s="32"/>
      <c r="Q355" s="14"/>
      <c r="T355" s="67"/>
      <c r="U355" s="23"/>
      <c r="V355" s="105"/>
      <c r="X355" s="24"/>
      <c r="Y355" s="18"/>
    </row>
    <row r="356" spans="1:25" ht="12.5" x14ac:dyDescent="0.25">
      <c r="A356" s="15"/>
      <c r="O356" s="32"/>
      <c r="Q356" s="14"/>
      <c r="T356" s="67"/>
      <c r="U356" s="23"/>
      <c r="V356" s="105"/>
      <c r="X356" s="24"/>
      <c r="Y356" s="18"/>
    </row>
    <row r="357" spans="1:25" ht="12.5" x14ac:dyDescent="0.25">
      <c r="A357" s="15"/>
      <c r="O357" s="32"/>
      <c r="Q357" s="14"/>
      <c r="T357" s="67"/>
      <c r="U357" s="23"/>
      <c r="V357" s="105"/>
      <c r="X357" s="24"/>
      <c r="Y357" s="18"/>
    </row>
    <row r="358" spans="1:25" ht="12.5" x14ac:dyDescent="0.25">
      <c r="A358" s="15"/>
      <c r="O358" s="32"/>
      <c r="Q358" s="14"/>
      <c r="T358" s="67"/>
      <c r="U358" s="23"/>
      <c r="V358" s="105"/>
      <c r="X358" s="24"/>
      <c r="Y358" s="18"/>
    </row>
    <row r="359" spans="1:25" ht="12.5" x14ac:dyDescent="0.25">
      <c r="A359" s="15"/>
      <c r="O359" s="32"/>
      <c r="Q359" s="14"/>
      <c r="T359" s="67"/>
      <c r="U359" s="23"/>
      <c r="V359" s="105"/>
      <c r="X359" s="24"/>
      <c r="Y359" s="18"/>
    </row>
    <row r="360" spans="1:25" ht="12.5" x14ac:dyDescent="0.25">
      <c r="A360" s="15"/>
      <c r="O360" s="32"/>
      <c r="Q360" s="14"/>
      <c r="T360" s="67"/>
      <c r="U360" s="23"/>
      <c r="V360" s="105"/>
      <c r="X360" s="24"/>
      <c r="Y360" s="18"/>
    </row>
    <row r="361" spans="1:25" ht="12.5" x14ac:dyDescent="0.25">
      <c r="A361" s="15"/>
      <c r="O361" s="32"/>
      <c r="Q361" s="14"/>
      <c r="T361" s="67"/>
      <c r="U361" s="23"/>
      <c r="V361" s="105"/>
      <c r="X361" s="24"/>
      <c r="Y361" s="18"/>
    </row>
    <row r="362" spans="1:25" ht="12.5" x14ac:dyDescent="0.25">
      <c r="A362" s="15"/>
      <c r="O362" s="32"/>
      <c r="Q362" s="14"/>
      <c r="T362" s="67"/>
      <c r="U362" s="23"/>
      <c r="V362" s="105"/>
      <c r="X362" s="24"/>
      <c r="Y362" s="18"/>
    </row>
    <row r="363" spans="1:25" ht="12.5" x14ac:dyDescent="0.25">
      <c r="A363" s="15"/>
      <c r="O363" s="32"/>
      <c r="Q363" s="14"/>
      <c r="T363" s="67"/>
      <c r="U363" s="23"/>
      <c r="V363" s="105"/>
      <c r="X363" s="24"/>
      <c r="Y363" s="18"/>
    </row>
    <row r="364" spans="1:25" ht="12.5" x14ac:dyDescent="0.25">
      <c r="A364" s="15"/>
      <c r="O364" s="32"/>
      <c r="Q364" s="14"/>
      <c r="T364" s="67"/>
      <c r="U364" s="23"/>
      <c r="V364" s="105"/>
      <c r="X364" s="24"/>
      <c r="Y364" s="18"/>
    </row>
    <row r="365" spans="1:25" ht="12.5" x14ac:dyDescent="0.25">
      <c r="A365" s="15"/>
      <c r="O365" s="32"/>
      <c r="Q365" s="14"/>
      <c r="T365" s="67"/>
      <c r="U365" s="23"/>
      <c r="V365" s="105"/>
      <c r="X365" s="24"/>
      <c r="Y365" s="18"/>
    </row>
    <row r="366" spans="1:25" ht="12.5" x14ac:dyDescent="0.25">
      <c r="A366" s="15"/>
      <c r="O366" s="32"/>
      <c r="Q366" s="14"/>
      <c r="T366" s="67"/>
      <c r="U366" s="23"/>
      <c r="V366" s="105"/>
      <c r="X366" s="24"/>
      <c r="Y366" s="18"/>
    </row>
    <row r="367" spans="1:25" ht="12.5" x14ac:dyDescent="0.25">
      <c r="A367" s="15"/>
      <c r="O367" s="32"/>
      <c r="Q367" s="14"/>
      <c r="T367" s="67"/>
      <c r="U367" s="23"/>
      <c r="V367" s="105"/>
      <c r="X367" s="24"/>
      <c r="Y367" s="18"/>
    </row>
    <row r="368" spans="1:25" ht="12.5" x14ac:dyDescent="0.25">
      <c r="A368" s="15"/>
      <c r="O368" s="32"/>
      <c r="Q368" s="14"/>
      <c r="T368" s="67"/>
      <c r="U368" s="23"/>
      <c r="V368" s="105"/>
      <c r="X368" s="24"/>
      <c r="Y368" s="18"/>
    </row>
    <row r="369" spans="1:25" ht="12.5" x14ac:dyDescent="0.25">
      <c r="A369" s="15"/>
      <c r="O369" s="32"/>
      <c r="Q369" s="14"/>
      <c r="T369" s="67"/>
      <c r="U369" s="23"/>
      <c r="V369" s="105"/>
      <c r="X369" s="24"/>
      <c r="Y369" s="18"/>
    </row>
    <row r="370" spans="1:25" ht="12.5" x14ac:dyDescent="0.25">
      <c r="A370" s="15"/>
      <c r="O370" s="32"/>
      <c r="Q370" s="14"/>
      <c r="T370" s="67"/>
      <c r="U370" s="23"/>
      <c r="V370" s="105"/>
      <c r="X370" s="24"/>
      <c r="Y370" s="18"/>
    </row>
    <row r="371" spans="1:25" ht="12.5" x14ac:dyDescent="0.25">
      <c r="A371" s="15"/>
      <c r="O371" s="32"/>
      <c r="Q371" s="14"/>
      <c r="T371" s="67"/>
      <c r="U371" s="23"/>
      <c r="V371" s="105"/>
      <c r="X371" s="24"/>
      <c r="Y371" s="18"/>
    </row>
    <row r="372" spans="1:25" ht="12.5" x14ac:dyDescent="0.25">
      <c r="A372" s="15"/>
      <c r="O372" s="32"/>
      <c r="Q372" s="14"/>
      <c r="T372" s="67"/>
      <c r="U372" s="23"/>
      <c r="V372" s="105"/>
      <c r="X372" s="24"/>
      <c r="Y372" s="18"/>
    </row>
    <row r="373" spans="1:25" ht="12.5" x14ac:dyDescent="0.25">
      <c r="A373" s="15"/>
      <c r="O373" s="32"/>
      <c r="Q373" s="14"/>
      <c r="T373" s="67"/>
      <c r="U373" s="23"/>
      <c r="V373" s="105"/>
      <c r="X373" s="24"/>
      <c r="Y373" s="18"/>
    </row>
    <row r="374" spans="1:25" ht="12.5" x14ac:dyDescent="0.25">
      <c r="A374" s="15"/>
      <c r="O374" s="32"/>
      <c r="Q374" s="14"/>
      <c r="T374" s="67"/>
      <c r="U374" s="23"/>
      <c r="V374" s="105"/>
      <c r="X374" s="24"/>
      <c r="Y374" s="18"/>
    </row>
    <row r="375" spans="1:25" ht="12.5" x14ac:dyDescent="0.25">
      <c r="A375" s="15"/>
      <c r="O375" s="32"/>
      <c r="Q375" s="14"/>
      <c r="T375" s="67"/>
      <c r="U375" s="23"/>
      <c r="V375" s="105"/>
      <c r="X375" s="24"/>
      <c r="Y375" s="18"/>
    </row>
    <row r="376" spans="1:25" ht="12.5" x14ac:dyDescent="0.25">
      <c r="A376" s="15"/>
      <c r="O376" s="32"/>
      <c r="Q376" s="14"/>
      <c r="T376" s="67"/>
      <c r="U376" s="23"/>
      <c r="V376" s="105"/>
      <c r="X376" s="24"/>
      <c r="Y376" s="18"/>
    </row>
    <row r="377" spans="1:25" ht="12.5" x14ac:dyDescent="0.25">
      <c r="A377" s="15"/>
      <c r="O377" s="32"/>
      <c r="Q377" s="14"/>
      <c r="T377" s="67"/>
      <c r="U377" s="23"/>
      <c r="V377" s="105"/>
      <c r="X377" s="24"/>
      <c r="Y377" s="18"/>
    </row>
    <row r="378" spans="1:25" ht="12.5" x14ac:dyDescent="0.25">
      <c r="A378" s="15"/>
      <c r="O378" s="32"/>
      <c r="Q378" s="14"/>
      <c r="T378" s="67"/>
      <c r="U378" s="23"/>
      <c r="V378" s="105"/>
      <c r="X378" s="24"/>
      <c r="Y378" s="18"/>
    </row>
    <row r="379" spans="1:25" ht="12.5" x14ac:dyDescent="0.25">
      <c r="A379" s="15"/>
      <c r="O379" s="32"/>
      <c r="Q379" s="14"/>
      <c r="T379" s="67"/>
      <c r="U379" s="23"/>
      <c r="V379" s="105"/>
      <c r="X379" s="24"/>
      <c r="Y379" s="18"/>
    </row>
    <row r="380" spans="1:25" ht="12.5" x14ac:dyDescent="0.25">
      <c r="A380" s="15"/>
      <c r="O380" s="32"/>
      <c r="Q380" s="14"/>
      <c r="T380" s="67"/>
      <c r="U380" s="23"/>
      <c r="V380" s="105"/>
      <c r="X380" s="24"/>
      <c r="Y380" s="18"/>
    </row>
    <row r="381" spans="1:25" ht="12.5" x14ac:dyDescent="0.25">
      <c r="A381" s="15"/>
      <c r="O381" s="32"/>
      <c r="Q381" s="14"/>
      <c r="T381" s="67"/>
      <c r="U381" s="23"/>
      <c r="V381" s="105"/>
      <c r="X381" s="24"/>
      <c r="Y381" s="18"/>
    </row>
    <row r="382" spans="1:25" ht="12.5" x14ac:dyDescent="0.25">
      <c r="A382" s="15"/>
      <c r="O382" s="32"/>
      <c r="Q382" s="14"/>
      <c r="T382" s="67"/>
      <c r="U382" s="23"/>
      <c r="V382" s="105"/>
      <c r="X382" s="24"/>
      <c r="Y382" s="18"/>
    </row>
    <row r="383" spans="1:25" ht="12.5" x14ac:dyDescent="0.25">
      <c r="A383" s="15"/>
      <c r="O383" s="32"/>
      <c r="Q383" s="14"/>
      <c r="T383" s="67"/>
      <c r="U383" s="23"/>
      <c r="V383" s="105"/>
      <c r="X383" s="24"/>
      <c r="Y383" s="18"/>
    </row>
    <row r="384" spans="1:25" ht="12.5" x14ac:dyDescent="0.25">
      <c r="A384" s="15"/>
      <c r="O384" s="32"/>
      <c r="Q384" s="14"/>
      <c r="T384" s="67"/>
      <c r="U384" s="23"/>
      <c r="V384" s="105"/>
      <c r="X384" s="24"/>
      <c r="Y384" s="18"/>
    </row>
    <row r="385" spans="1:25" ht="12.5" x14ac:dyDescent="0.25">
      <c r="A385" s="15"/>
      <c r="O385" s="32"/>
      <c r="Q385" s="14"/>
      <c r="T385" s="67"/>
      <c r="U385" s="23"/>
      <c r="V385" s="105"/>
      <c r="X385" s="24"/>
      <c r="Y385" s="18"/>
    </row>
    <row r="386" spans="1:25" ht="12.5" x14ac:dyDescent="0.25">
      <c r="A386" s="15"/>
      <c r="O386" s="32"/>
      <c r="Q386" s="14"/>
      <c r="T386" s="67"/>
      <c r="U386" s="23"/>
      <c r="V386" s="105"/>
      <c r="X386" s="24"/>
      <c r="Y386" s="18"/>
    </row>
    <row r="387" spans="1:25" ht="12.5" x14ac:dyDescent="0.25">
      <c r="A387" s="15"/>
      <c r="O387" s="32"/>
      <c r="Q387" s="14"/>
      <c r="T387" s="67"/>
      <c r="U387" s="23"/>
      <c r="V387" s="105"/>
      <c r="X387" s="24"/>
      <c r="Y387" s="18"/>
    </row>
    <row r="388" spans="1:25" ht="12.5" x14ac:dyDescent="0.25">
      <c r="A388" s="15"/>
      <c r="O388" s="32"/>
      <c r="Q388" s="14"/>
      <c r="T388" s="67"/>
      <c r="U388" s="23"/>
      <c r="V388" s="105"/>
      <c r="X388" s="24"/>
      <c r="Y388" s="18"/>
    </row>
    <row r="389" spans="1:25" ht="12.5" x14ac:dyDescent="0.25">
      <c r="A389" s="15"/>
      <c r="O389" s="32"/>
      <c r="Q389" s="14"/>
      <c r="T389" s="67"/>
      <c r="U389" s="23"/>
      <c r="V389" s="105"/>
      <c r="X389" s="24"/>
      <c r="Y389" s="18"/>
    </row>
    <row r="390" spans="1:25" ht="12.5" x14ac:dyDescent="0.25">
      <c r="A390" s="15"/>
      <c r="O390" s="32"/>
      <c r="Q390" s="14"/>
      <c r="T390" s="67"/>
      <c r="U390" s="23"/>
      <c r="V390" s="105"/>
      <c r="X390" s="24"/>
      <c r="Y390" s="18"/>
    </row>
    <row r="391" spans="1:25" ht="12.5" x14ac:dyDescent="0.25">
      <c r="A391" s="15"/>
      <c r="O391" s="32"/>
      <c r="Q391" s="14"/>
      <c r="T391" s="67"/>
      <c r="U391" s="23"/>
      <c r="V391" s="105"/>
      <c r="X391" s="24"/>
      <c r="Y391" s="18"/>
    </row>
    <row r="392" spans="1:25" ht="12.5" x14ac:dyDescent="0.25">
      <c r="A392" s="15"/>
      <c r="O392" s="32"/>
      <c r="Q392" s="14"/>
      <c r="T392" s="67"/>
      <c r="U392" s="23"/>
      <c r="V392" s="105"/>
      <c r="X392" s="24"/>
      <c r="Y392" s="18"/>
    </row>
    <row r="393" spans="1:25" ht="12.5" x14ac:dyDescent="0.25">
      <c r="A393" s="15"/>
      <c r="O393" s="32"/>
      <c r="Q393" s="14"/>
      <c r="T393" s="67"/>
      <c r="U393" s="23"/>
      <c r="V393" s="105"/>
      <c r="X393" s="24"/>
      <c r="Y393" s="18"/>
    </row>
    <row r="394" spans="1:25" ht="12.5" x14ac:dyDescent="0.25">
      <c r="A394" s="15"/>
      <c r="O394" s="32"/>
      <c r="Q394" s="14"/>
      <c r="T394" s="67"/>
      <c r="U394" s="23"/>
      <c r="V394" s="105"/>
      <c r="X394" s="24"/>
      <c r="Y394" s="18"/>
    </row>
    <row r="395" spans="1:25" ht="12.5" x14ac:dyDescent="0.25">
      <c r="A395" s="15"/>
      <c r="O395" s="32"/>
      <c r="Q395" s="14"/>
      <c r="T395" s="67"/>
      <c r="U395" s="23"/>
      <c r="V395" s="105"/>
      <c r="X395" s="24"/>
      <c r="Y395" s="18"/>
    </row>
    <row r="396" spans="1:25" ht="12.5" x14ac:dyDescent="0.25">
      <c r="A396" s="15"/>
      <c r="O396" s="32"/>
      <c r="Q396" s="14"/>
      <c r="T396" s="67"/>
      <c r="U396" s="23"/>
      <c r="V396" s="105"/>
      <c r="X396" s="24"/>
      <c r="Y396" s="18"/>
    </row>
    <row r="397" spans="1:25" ht="12.5" x14ac:dyDescent="0.25">
      <c r="A397" s="15"/>
      <c r="O397" s="32"/>
      <c r="Q397" s="14"/>
      <c r="T397" s="67"/>
      <c r="U397" s="23"/>
      <c r="V397" s="105"/>
      <c r="X397" s="24"/>
      <c r="Y397" s="18"/>
    </row>
    <row r="398" spans="1:25" ht="12.5" x14ac:dyDescent="0.25">
      <c r="A398" s="15"/>
      <c r="O398" s="32"/>
      <c r="Q398" s="14"/>
      <c r="T398" s="67"/>
      <c r="U398" s="23"/>
      <c r="V398" s="105"/>
      <c r="X398" s="24"/>
      <c r="Y398" s="18"/>
    </row>
    <row r="399" spans="1:25" ht="12.5" x14ac:dyDescent="0.25">
      <c r="A399" s="15"/>
      <c r="O399" s="32"/>
      <c r="Q399" s="14"/>
      <c r="T399" s="67"/>
      <c r="U399" s="23"/>
      <c r="V399" s="105"/>
      <c r="X399" s="24"/>
      <c r="Y399" s="18"/>
    </row>
    <row r="400" spans="1:25" ht="12.5" x14ac:dyDescent="0.25">
      <c r="A400" s="15"/>
      <c r="O400" s="32"/>
      <c r="Q400" s="14"/>
      <c r="T400" s="67"/>
      <c r="U400" s="23"/>
      <c r="V400" s="105"/>
      <c r="X400" s="24"/>
      <c r="Y400" s="18"/>
    </row>
    <row r="401" spans="1:25" ht="12.5" x14ac:dyDescent="0.25">
      <c r="A401" s="15"/>
      <c r="O401" s="32"/>
      <c r="Q401" s="14"/>
      <c r="T401" s="67"/>
      <c r="U401" s="23"/>
      <c r="V401" s="105"/>
      <c r="X401" s="24"/>
      <c r="Y401" s="18"/>
    </row>
    <row r="402" spans="1:25" ht="12.5" x14ac:dyDescent="0.25">
      <c r="A402" s="15"/>
      <c r="O402" s="32"/>
      <c r="Q402" s="14"/>
      <c r="T402" s="67"/>
      <c r="U402" s="23"/>
      <c r="V402" s="105"/>
      <c r="X402" s="24"/>
      <c r="Y402" s="18"/>
    </row>
    <row r="403" spans="1:25" ht="12.5" x14ac:dyDescent="0.25">
      <c r="A403" s="15"/>
      <c r="O403" s="32"/>
      <c r="Q403" s="14"/>
      <c r="T403" s="67"/>
      <c r="U403" s="23"/>
      <c r="V403" s="105"/>
      <c r="X403" s="24"/>
      <c r="Y403" s="18"/>
    </row>
    <row r="404" spans="1:25" ht="12.5" x14ac:dyDescent="0.25">
      <c r="A404" s="15"/>
      <c r="O404" s="32"/>
      <c r="Q404" s="14"/>
      <c r="T404" s="67"/>
      <c r="U404" s="23"/>
      <c r="V404" s="105"/>
      <c r="X404" s="24"/>
      <c r="Y404" s="18"/>
    </row>
    <row r="405" spans="1:25" ht="12.5" x14ac:dyDescent="0.25">
      <c r="A405" s="15"/>
      <c r="O405" s="32"/>
      <c r="Q405" s="14"/>
      <c r="T405" s="67"/>
      <c r="U405" s="23"/>
      <c r="V405" s="105"/>
      <c r="X405" s="24"/>
      <c r="Y405" s="18"/>
    </row>
    <row r="406" spans="1:25" ht="12.5" x14ac:dyDescent="0.25">
      <c r="A406" s="15"/>
      <c r="O406" s="32"/>
      <c r="Q406" s="14"/>
      <c r="T406" s="67"/>
      <c r="U406" s="23"/>
      <c r="V406" s="105"/>
      <c r="X406" s="24"/>
      <c r="Y406" s="18"/>
    </row>
    <row r="407" spans="1:25" ht="12.5" x14ac:dyDescent="0.25">
      <c r="A407" s="15"/>
      <c r="O407" s="32"/>
      <c r="Q407" s="14"/>
      <c r="T407" s="67"/>
      <c r="U407" s="23"/>
      <c r="V407" s="105"/>
      <c r="X407" s="24"/>
      <c r="Y407" s="18"/>
    </row>
    <row r="408" spans="1:25" ht="12.5" x14ac:dyDescent="0.25">
      <c r="A408" s="15"/>
      <c r="O408" s="32"/>
      <c r="Q408" s="14"/>
      <c r="T408" s="67"/>
      <c r="U408" s="23"/>
      <c r="V408" s="105"/>
      <c r="X408" s="24"/>
      <c r="Y408" s="18"/>
    </row>
    <row r="409" spans="1:25" ht="12.5" x14ac:dyDescent="0.25">
      <c r="A409" s="15"/>
      <c r="O409" s="32"/>
      <c r="Q409" s="14"/>
      <c r="T409" s="67"/>
      <c r="U409" s="23"/>
      <c r="V409" s="105"/>
      <c r="X409" s="24"/>
      <c r="Y409" s="18"/>
    </row>
    <row r="410" spans="1:25" ht="12.5" x14ac:dyDescent="0.25">
      <c r="A410" s="15"/>
      <c r="O410" s="32"/>
      <c r="Q410" s="14"/>
      <c r="T410" s="67"/>
      <c r="U410" s="23"/>
      <c r="V410" s="105"/>
      <c r="X410" s="24"/>
      <c r="Y410" s="18"/>
    </row>
    <row r="411" spans="1:25" ht="12.5" x14ac:dyDescent="0.25">
      <c r="A411" s="15"/>
      <c r="O411" s="32"/>
      <c r="Q411" s="14"/>
      <c r="T411" s="67"/>
      <c r="U411" s="23"/>
      <c r="V411" s="105"/>
      <c r="X411" s="24"/>
      <c r="Y411" s="18"/>
    </row>
    <row r="412" spans="1:25" ht="12.5" x14ac:dyDescent="0.25">
      <c r="A412" s="15"/>
      <c r="O412" s="32"/>
      <c r="Q412" s="14"/>
      <c r="T412" s="67"/>
      <c r="U412" s="23"/>
      <c r="V412" s="105"/>
      <c r="X412" s="24"/>
      <c r="Y412" s="18"/>
    </row>
    <row r="413" spans="1:25" ht="12.5" x14ac:dyDescent="0.25">
      <c r="A413" s="15"/>
      <c r="O413" s="32"/>
      <c r="Q413" s="14"/>
      <c r="T413" s="67"/>
      <c r="U413" s="23"/>
      <c r="V413" s="105"/>
      <c r="X413" s="24"/>
      <c r="Y413" s="18"/>
    </row>
    <row r="414" spans="1:25" ht="12.5" x14ac:dyDescent="0.25">
      <c r="A414" s="15"/>
      <c r="O414" s="32"/>
      <c r="Q414" s="14"/>
      <c r="T414" s="67"/>
      <c r="U414" s="23"/>
      <c r="V414" s="105"/>
      <c r="X414" s="24"/>
      <c r="Y414" s="18"/>
    </row>
    <row r="415" spans="1:25" ht="12.5" x14ac:dyDescent="0.25">
      <c r="A415" s="15"/>
      <c r="O415" s="32"/>
      <c r="Q415" s="14"/>
      <c r="T415" s="67"/>
      <c r="U415" s="23"/>
      <c r="V415" s="105"/>
      <c r="X415" s="24"/>
      <c r="Y415" s="18"/>
    </row>
    <row r="416" spans="1:25" ht="12.5" x14ac:dyDescent="0.25">
      <c r="A416" s="15"/>
      <c r="O416" s="32"/>
      <c r="Q416" s="14"/>
      <c r="T416" s="67"/>
      <c r="U416" s="23"/>
      <c r="V416" s="105"/>
      <c r="X416" s="24"/>
      <c r="Y416" s="18"/>
    </row>
    <row r="417" spans="1:25" ht="12.5" x14ac:dyDescent="0.25">
      <c r="A417" s="15"/>
      <c r="O417" s="32"/>
      <c r="Q417" s="14"/>
      <c r="T417" s="67"/>
      <c r="U417" s="23"/>
      <c r="V417" s="105"/>
      <c r="X417" s="24"/>
      <c r="Y417" s="18"/>
    </row>
    <row r="418" spans="1:25" ht="12.5" x14ac:dyDescent="0.25">
      <c r="A418" s="15"/>
      <c r="O418" s="32"/>
      <c r="Q418" s="14"/>
      <c r="T418" s="67"/>
      <c r="U418" s="23"/>
      <c r="V418" s="105"/>
      <c r="X418" s="24"/>
      <c r="Y418" s="18"/>
    </row>
    <row r="419" spans="1:25" ht="12.5" x14ac:dyDescent="0.25">
      <c r="A419" s="15"/>
      <c r="O419" s="32"/>
      <c r="Q419" s="14"/>
      <c r="T419" s="67"/>
      <c r="U419" s="23"/>
      <c r="V419" s="105"/>
      <c r="X419" s="24"/>
      <c r="Y419" s="18"/>
    </row>
    <row r="420" spans="1:25" ht="12.5" x14ac:dyDescent="0.25">
      <c r="A420" s="15"/>
      <c r="O420" s="32"/>
      <c r="Q420" s="14"/>
      <c r="T420" s="67"/>
      <c r="U420" s="23"/>
      <c r="V420" s="105"/>
      <c r="X420" s="24"/>
      <c r="Y420" s="18"/>
    </row>
    <row r="421" spans="1:25" ht="12.5" x14ac:dyDescent="0.25">
      <c r="A421" s="15"/>
      <c r="O421" s="32"/>
      <c r="Q421" s="14"/>
      <c r="T421" s="67"/>
      <c r="U421" s="23"/>
      <c r="V421" s="105"/>
      <c r="X421" s="24"/>
      <c r="Y421" s="18"/>
    </row>
    <row r="422" spans="1:25" ht="12.5" x14ac:dyDescent="0.25">
      <c r="A422" s="15"/>
      <c r="O422" s="32"/>
      <c r="Q422" s="14"/>
      <c r="T422" s="67"/>
      <c r="U422" s="23"/>
      <c r="V422" s="105"/>
      <c r="X422" s="24"/>
      <c r="Y422" s="18"/>
    </row>
    <row r="423" spans="1:25" ht="12.5" x14ac:dyDescent="0.25">
      <c r="A423" s="15"/>
      <c r="O423" s="32"/>
      <c r="Q423" s="14"/>
      <c r="T423" s="67"/>
      <c r="U423" s="23"/>
      <c r="V423" s="105"/>
      <c r="X423" s="24"/>
      <c r="Y423" s="18"/>
    </row>
    <row r="424" spans="1:25" ht="12.5" x14ac:dyDescent="0.25">
      <c r="A424" s="15"/>
      <c r="O424" s="32"/>
      <c r="Q424" s="14"/>
      <c r="T424" s="67"/>
      <c r="U424" s="23"/>
      <c r="V424" s="105"/>
      <c r="X424" s="24"/>
      <c r="Y424" s="18"/>
    </row>
    <row r="425" spans="1:25" ht="12.5" x14ac:dyDescent="0.25">
      <c r="A425" s="15"/>
      <c r="O425" s="32"/>
      <c r="Q425" s="14"/>
      <c r="T425" s="67"/>
      <c r="U425" s="23"/>
      <c r="V425" s="105"/>
      <c r="X425" s="24"/>
      <c r="Y425" s="18"/>
    </row>
    <row r="426" spans="1:25" ht="12.5" x14ac:dyDescent="0.25">
      <c r="A426" s="15"/>
      <c r="O426" s="32"/>
      <c r="Q426" s="14"/>
      <c r="T426" s="67"/>
      <c r="U426" s="23"/>
      <c r="V426" s="105"/>
      <c r="X426" s="24"/>
      <c r="Y426" s="18"/>
    </row>
    <row r="427" spans="1:25" ht="12.5" x14ac:dyDescent="0.25">
      <c r="A427" s="15"/>
      <c r="O427" s="32"/>
      <c r="Q427" s="14"/>
      <c r="T427" s="67"/>
      <c r="U427" s="23"/>
      <c r="V427" s="105"/>
      <c r="X427" s="24"/>
      <c r="Y427" s="18"/>
    </row>
    <row r="428" spans="1:25" ht="12.5" x14ac:dyDescent="0.25">
      <c r="A428" s="15"/>
      <c r="O428" s="32"/>
      <c r="Q428" s="14"/>
      <c r="T428" s="67"/>
      <c r="U428" s="23"/>
      <c r="V428" s="105"/>
      <c r="X428" s="24"/>
      <c r="Y428" s="18"/>
    </row>
    <row r="429" spans="1:25" ht="12.5" x14ac:dyDescent="0.25">
      <c r="A429" s="15"/>
      <c r="O429" s="32"/>
      <c r="Q429" s="14"/>
      <c r="T429" s="67"/>
      <c r="U429" s="23"/>
      <c r="V429" s="105"/>
      <c r="X429" s="24"/>
      <c r="Y429" s="18"/>
    </row>
    <row r="430" spans="1:25" ht="12.5" x14ac:dyDescent="0.25">
      <c r="A430" s="15"/>
      <c r="O430" s="32"/>
      <c r="Q430" s="14"/>
      <c r="T430" s="67"/>
      <c r="U430" s="23"/>
      <c r="V430" s="105"/>
      <c r="X430" s="24"/>
      <c r="Y430" s="18"/>
    </row>
    <row r="431" spans="1:25" ht="12.5" x14ac:dyDescent="0.25">
      <c r="A431" s="15"/>
      <c r="O431" s="32"/>
      <c r="Q431" s="14"/>
      <c r="T431" s="67"/>
      <c r="U431" s="23"/>
      <c r="V431" s="105"/>
      <c r="X431" s="24"/>
      <c r="Y431" s="18"/>
    </row>
    <row r="432" spans="1:25" ht="12.5" x14ac:dyDescent="0.25">
      <c r="A432" s="15"/>
      <c r="O432" s="32"/>
      <c r="Q432" s="14"/>
      <c r="T432" s="67"/>
      <c r="U432" s="23"/>
      <c r="V432" s="105"/>
      <c r="X432" s="24"/>
      <c r="Y432" s="18"/>
    </row>
    <row r="433" spans="1:25" ht="12.5" x14ac:dyDescent="0.25">
      <c r="A433" s="15"/>
      <c r="O433" s="32"/>
      <c r="Q433" s="14"/>
      <c r="T433" s="67"/>
      <c r="U433" s="23"/>
      <c r="V433" s="105"/>
      <c r="X433" s="24"/>
      <c r="Y433" s="18"/>
    </row>
    <row r="434" spans="1:25" ht="12.5" x14ac:dyDescent="0.25">
      <c r="A434" s="15"/>
      <c r="O434" s="32"/>
      <c r="Q434" s="14"/>
      <c r="T434" s="67"/>
      <c r="U434" s="23"/>
      <c r="V434" s="105"/>
      <c r="X434" s="24"/>
      <c r="Y434" s="18"/>
    </row>
    <row r="435" spans="1:25" ht="12.5" x14ac:dyDescent="0.25">
      <c r="A435" s="15"/>
      <c r="O435" s="32"/>
      <c r="Q435" s="14"/>
      <c r="T435" s="67"/>
      <c r="U435" s="23"/>
      <c r="V435" s="105"/>
      <c r="X435" s="24"/>
      <c r="Y435" s="18"/>
    </row>
    <row r="436" spans="1:25" ht="12.5" x14ac:dyDescent="0.25">
      <c r="A436" s="15"/>
      <c r="O436" s="32"/>
      <c r="Q436" s="14"/>
      <c r="T436" s="67"/>
      <c r="U436" s="23"/>
      <c r="V436" s="105"/>
      <c r="X436" s="24"/>
      <c r="Y436" s="18"/>
    </row>
    <row r="437" spans="1:25" ht="12.5" x14ac:dyDescent="0.25">
      <c r="A437" s="15"/>
      <c r="O437" s="32"/>
      <c r="Q437" s="14"/>
      <c r="T437" s="67"/>
      <c r="U437" s="23"/>
      <c r="V437" s="105"/>
      <c r="X437" s="24"/>
      <c r="Y437" s="18"/>
    </row>
    <row r="438" spans="1:25" ht="12.5" x14ac:dyDescent="0.25">
      <c r="A438" s="15"/>
      <c r="O438" s="32"/>
      <c r="Q438" s="14"/>
      <c r="T438" s="67"/>
      <c r="U438" s="23"/>
      <c r="V438" s="105"/>
      <c r="X438" s="24"/>
      <c r="Y438" s="18"/>
    </row>
    <row r="439" spans="1:25" ht="12.5" x14ac:dyDescent="0.25">
      <c r="A439" s="15"/>
      <c r="O439" s="32"/>
      <c r="Q439" s="14"/>
      <c r="T439" s="67"/>
      <c r="U439" s="23"/>
      <c r="V439" s="105"/>
      <c r="X439" s="24"/>
      <c r="Y439" s="18"/>
    </row>
    <row r="440" spans="1:25" ht="12.5" x14ac:dyDescent="0.25">
      <c r="A440" s="15"/>
      <c r="O440" s="32"/>
      <c r="Q440" s="14"/>
      <c r="T440" s="67"/>
      <c r="U440" s="23"/>
      <c r="V440" s="105"/>
      <c r="X440" s="24"/>
      <c r="Y440" s="18"/>
    </row>
    <row r="441" spans="1:25" ht="12.5" x14ac:dyDescent="0.25">
      <c r="A441" s="15"/>
      <c r="O441" s="32"/>
      <c r="Q441" s="14"/>
      <c r="T441" s="67"/>
      <c r="U441" s="23"/>
      <c r="V441" s="105"/>
      <c r="X441" s="24"/>
      <c r="Y441" s="18"/>
    </row>
    <row r="442" spans="1:25" ht="12.5" x14ac:dyDescent="0.25">
      <c r="A442" s="15"/>
      <c r="O442" s="32"/>
      <c r="Q442" s="14"/>
      <c r="T442" s="67"/>
      <c r="U442" s="23"/>
      <c r="V442" s="105"/>
      <c r="X442" s="24"/>
      <c r="Y442" s="18"/>
    </row>
    <row r="443" spans="1:25" ht="12.5" x14ac:dyDescent="0.25">
      <c r="A443" s="15"/>
      <c r="O443" s="32"/>
      <c r="Q443" s="14"/>
      <c r="T443" s="67"/>
      <c r="U443" s="23"/>
      <c r="V443" s="105"/>
      <c r="X443" s="24"/>
      <c r="Y443" s="18"/>
    </row>
    <row r="444" spans="1:25" ht="12.5" x14ac:dyDescent="0.25">
      <c r="A444" s="15"/>
      <c r="O444" s="32"/>
      <c r="Q444" s="14"/>
      <c r="T444" s="67"/>
      <c r="U444" s="23"/>
      <c r="V444" s="105"/>
      <c r="X444" s="24"/>
      <c r="Y444" s="18"/>
    </row>
    <row r="445" spans="1:25" ht="12.5" x14ac:dyDescent="0.25">
      <c r="A445" s="15"/>
      <c r="O445" s="32"/>
      <c r="Q445" s="14"/>
      <c r="T445" s="67"/>
      <c r="U445" s="23"/>
      <c r="V445" s="105"/>
      <c r="X445" s="24"/>
      <c r="Y445" s="18"/>
    </row>
    <row r="446" spans="1:25" ht="12.5" x14ac:dyDescent="0.25">
      <c r="A446" s="15"/>
      <c r="O446" s="32"/>
      <c r="Q446" s="14"/>
      <c r="T446" s="67"/>
      <c r="U446" s="23"/>
      <c r="V446" s="105"/>
      <c r="X446" s="24"/>
      <c r="Y446" s="18"/>
    </row>
    <row r="447" spans="1:25" ht="12.5" x14ac:dyDescent="0.25">
      <c r="A447" s="15"/>
      <c r="O447" s="32"/>
      <c r="Q447" s="14"/>
      <c r="T447" s="67"/>
      <c r="U447" s="23"/>
      <c r="V447" s="105"/>
      <c r="X447" s="24"/>
      <c r="Y447" s="18"/>
    </row>
    <row r="448" spans="1:25" ht="12.5" x14ac:dyDescent="0.25">
      <c r="A448" s="15"/>
      <c r="O448" s="32"/>
      <c r="Q448" s="14"/>
      <c r="T448" s="67"/>
      <c r="U448" s="23"/>
      <c r="V448" s="105"/>
      <c r="X448" s="24"/>
      <c r="Y448" s="18"/>
    </row>
    <row r="449" spans="1:25" ht="12.5" x14ac:dyDescent="0.25">
      <c r="A449" s="15"/>
      <c r="O449" s="32"/>
      <c r="Q449" s="14"/>
      <c r="T449" s="67"/>
      <c r="U449" s="23"/>
      <c r="V449" s="105"/>
      <c r="X449" s="24"/>
      <c r="Y449" s="18"/>
    </row>
    <row r="450" spans="1:25" ht="12.5" x14ac:dyDescent="0.25">
      <c r="A450" s="15"/>
      <c r="O450" s="32"/>
      <c r="Q450" s="14"/>
      <c r="T450" s="67"/>
      <c r="U450" s="23"/>
      <c r="V450" s="105"/>
      <c r="X450" s="24"/>
      <c r="Y450" s="18"/>
    </row>
    <row r="451" spans="1:25" ht="12.5" x14ac:dyDescent="0.25">
      <c r="A451" s="15"/>
      <c r="O451" s="32"/>
      <c r="Q451" s="14"/>
      <c r="T451" s="67"/>
      <c r="U451" s="23"/>
      <c r="V451" s="105"/>
      <c r="X451" s="24"/>
      <c r="Y451" s="18"/>
    </row>
    <row r="452" spans="1:25" ht="12.5" x14ac:dyDescent="0.25">
      <c r="A452" s="15"/>
      <c r="O452" s="32"/>
      <c r="Q452" s="14"/>
      <c r="T452" s="67"/>
      <c r="U452" s="23"/>
      <c r="V452" s="105"/>
      <c r="X452" s="24"/>
      <c r="Y452" s="18"/>
    </row>
    <row r="453" spans="1:25" ht="12.5" x14ac:dyDescent="0.25">
      <c r="A453" s="15"/>
      <c r="O453" s="32"/>
      <c r="Q453" s="14"/>
      <c r="T453" s="67"/>
      <c r="U453" s="23"/>
      <c r="V453" s="105"/>
      <c r="X453" s="24"/>
      <c r="Y453" s="18"/>
    </row>
    <row r="454" spans="1:25" ht="12.5" x14ac:dyDescent="0.25">
      <c r="A454" s="15"/>
      <c r="O454" s="32"/>
      <c r="Q454" s="14"/>
      <c r="T454" s="67"/>
      <c r="U454" s="23"/>
      <c r="V454" s="105"/>
      <c r="X454" s="24"/>
      <c r="Y454" s="18"/>
    </row>
    <row r="455" spans="1:25" ht="12.5" x14ac:dyDescent="0.25">
      <c r="A455" s="15"/>
      <c r="O455" s="32"/>
      <c r="Q455" s="14"/>
      <c r="T455" s="67"/>
      <c r="U455" s="23"/>
      <c r="V455" s="105"/>
      <c r="X455" s="24"/>
      <c r="Y455" s="18"/>
    </row>
    <row r="456" spans="1:25" ht="12.5" x14ac:dyDescent="0.25">
      <c r="A456" s="15"/>
      <c r="O456" s="32"/>
      <c r="Q456" s="14"/>
      <c r="T456" s="67"/>
      <c r="U456" s="23"/>
      <c r="V456" s="105"/>
      <c r="X456" s="24"/>
      <c r="Y456" s="18"/>
    </row>
    <row r="457" spans="1:25" ht="12.5" x14ac:dyDescent="0.25">
      <c r="A457" s="15"/>
      <c r="O457" s="32"/>
      <c r="Q457" s="14"/>
      <c r="T457" s="67"/>
      <c r="U457" s="23"/>
      <c r="V457" s="105"/>
      <c r="X457" s="24"/>
      <c r="Y457" s="18"/>
    </row>
    <row r="458" spans="1:25" ht="12.5" x14ac:dyDescent="0.25">
      <c r="A458" s="15"/>
      <c r="O458" s="32"/>
      <c r="Q458" s="14"/>
      <c r="T458" s="67"/>
      <c r="U458" s="23"/>
      <c r="V458" s="105"/>
      <c r="X458" s="24"/>
      <c r="Y458" s="18"/>
    </row>
    <row r="459" spans="1:25" ht="12.5" x14ac:dyDescent="0.25">
      <c r="A459" s="15"/>
      <c r="O459" s="32"/>
      <c r="Q459" s="14"/>
      <c r="T459" s="67"/>
      <c r="U459" s="23"/>
      <c r="V459" s="105"/>
      <c r="X459" s="24"/>
      <c r="Y459" s="18"/>
    </row>
    <row r="460" spans="1:25" ht="12.5" x14ac:dyDescent="0.25">
      <c r="A460" s="15"/>
      <c r="O460" s="32"/>
      <c r="Q460" s="14"/>
      <c r="T460" s="67"/>
      <c r="U460" s="23"/>
      <c r="V460" s="105"/>
      <c r="X460" s="24"/>
      <c r="Y460" s="18"/>
    </row>
    <row r="461" spans="1:25" ht="12.5" x14ac:dyDescent="0.25">
      <c r="A461" s="15"/>
      <c r="O461" s="32"/>
      <c r="Q461" s="14"/>
      <c r="T461" s="67"/>
      <c r="U461" s="23"/>
      <c r="V461" s="105"/>
      <c r="X461" s="24"/>
      <c r="Y461" s="18"/>
    </row>
    <row r="462" spans="1:25" ht="12.5" x14ac:dyDescent="0.25">
      <c r="A462" s="15"/>
      <c r="O462" s="32"/>
      <c r="Q462" s="14"/>
      <c r="T462" s="67"/>
      <c r="U462" s="23"/>
      <c r="V462" s="105"/>
      <c r="X462" s="24"/>
      <c r="Y462" s="18"/>
    </row>
    <row r="463" spans="1:25" ht="12.5" x14ac:dyDescent="0.25">
      <c r="A463" s="15"/>
      <c r="O463" s="32"/>
      <c r="Q463" s="14"/>
      <c r="T463" s="67"/>
      <c r="U463" s="23"/>
      <c r="V463" s="105"/>
      <c r="X463" s="24"/>
      <c r="Y463" s="18"/>
    </row>
    <row r="464" spans="1:25" ht="12.5" x14ac:dyDescent="0.25">
      <c r="A464" s="15"/>
      <c r="O464" s="32"/>
      <c r="Q464" s="14"/>
      <c r="T464" s="67"/>
      <c r="U464" s="23"/>
      <c r="V464" s="105"/>
      <c r="X464" s="24"/>
      <c r="Y464" s="18"/>
    </row>
    <row r="465" spans="1:25" ht="12.5" x14ac:dyDescent="0.25">
      <c r="A465" s="15"/>
      <c r="O465" s="32"/>
      <c r="Q465" s="14"/>
      <c r="T465" s="67"/>
      <c r="U465" s="23"/>
      <c r="V465" s="105"/>
      <c r="X465" s="24"/>
      <c r="Y465" s="18"/>
    </row>
    <row r="466" spans="1:25" ht="12.5" x14ac:dyDescent="0.25">
      <c r="A466" s="15"/>
      <c r="O466" s="32"/>
      <c r="Q466" s="14"/>
      <c r="T466" s="67"/>
      <c r="U466" s="23"/>
      <c r="V466" s="105"/>
      <c r="X466" s="24"/>
      <c r="Y466" s="18"/>
    </row>
    <row r="467" spans="1:25" ht="12.5" x14ac:dyDescent="0.25">
      <c r="A467" s="15"/>
      <c r="O467" s="32"/>
      <c r="Q467" s="14"/>
      <c r="T467" s="67"/>
      <c r="U467" s="23"/>
      <c r="V467" s="105"/>
      <c r="X467" s="24"/>
      <c r="Y467" s="18"/>
    </row>
    <row r="468" spans="1:25" ht="12.5" x14ac:dyDescent="0.25">
      <c r="A468" s="15"/>
      <c r="O468" s="32"/>
      <c r="Q468" s="14"/>
      <c r="T468" s="67"/>
      <c r="U468" s="23"/>
      <c r="V468" s="105"/>
      <c r="X468" s="24"/>
      <c r="Y468" s="18"/>
    </row>
    <row r="469" spans="1:25" ht="12.5" x14ac:dyDescent="0.25">
      <c r="A469" s="15"/>
      <c r="O469" s="32"/>
      <c r="Q469" s="14"/>
      <c r="T469" s="67"/>
      <c r="U469" s="23"/>
      <c r="V469" s="105"/>
      <c r="X469" s="24"/>
      <c r="Y469" s="18"/>
    </row>
    <row r="470" spans="1:25" ht="12.5" x14ac:dyDescent="0.25">
      <c r="A470" s="15"/>
      <c r="O470" s="32"/>
      <c r="Q470" s="14"/>
      <c r="T470" s="67"/>
      <c r="U470" s="23"/>
      <c r="V470" s="105"/>
      <c r="X470" s="24"/>
      <c r="Y470" s="18"/>
    </row>
    <row r="471" spans="1:25" ht="12.5" x14ac:dyDescent="0.25">
      <c r="A471" s="15"/>
      <c r="O471" s="32"/>
      <c r="Q471" s="14"/>
      <c r="T471" s="67"/>
      <c r="U471" s="23"/>
      <c r="V471" s="105"/>
      <c r="X471" s="24"/>
      <c r="Y471" s="18"/>
    </row>
    <row r="472" spans="1:25" ht="12.5" x14ac:dyDescent="0.25">
      <c r="A472" s="15"/>
      <c r="O472" s="32"/>
      <c r="Q472" s="14"/>
      <c r="T472" s="67"/>
      <c r="U472" s="23"/>
      <c r="V472" s="105"/>
      <c r="X472" s="24"/>
      <c r="Y472" s="18"/>
    </row>
    <row r="473" spans="1:25" ht="12.5" x14ac:dyDescent="0.25">
      <c r="A473" s="15"/>
      <c r="O473" s="32"/>
      <c r="Q473" s="14"/>
      <c r="T473" s="67"/>
      <c r="U473" s="23"/>
      <c r="V473" s="105"/>
      <c r="X473" s="24"/>
      <c r="Y473" s="18"/>
    </row>
    <row r="474" spans="1:25" ht="12.5" x14ac:dyDescent="0.25">
      <c r="A474" s="15"/>
      <c r="O474" s="32"/>
      <c r="Q474" s="14"/>
      <c r="T474" s="67"/>
      <c r="U474" s="23"/>
      <c r="V474" s="105"/>
      <c r="X474" s="24"/>
      <c r="Y474" s="18"/>
    </row>
    <row r="475" spans="1:25" ht="12.5" x14ac:dyDescent="0.25">
      <c r="A475" s="15"/>
      <c r="O475" s="32"/>
      <c r="Q475" s="14"/>
      <c r="T475" s="67"/>
      <c r="U475" s="23"/>
      <c r="V475" s="105"/>
      <c r="X475" s="24"/>
      <c r="Y475" s="18"/>
    </row>
    <row r="476" spans="1:25" ht="12.5" x14ac:dyDescent="0.25">
      <c r="A476" s="15"/>
      <c r="O476" s="32"/>
      <c r="Q476" s="14"/>
      <c r="T476" s="67"/>
      <c r="U476" s="23"/>
      <c r="V476" s="105"/>
      <c r="X476" s="24"/>
      <c r="Y476" s="18"/>
    </row>
    <row r="477" spans="1:25" ht="12.5" x14ac:dyDescent="0.25">
      <c r="A477" s="15"/>
      <c r="O477" s="32"/>
      <c r="Q477" s="14"/>
      <c r="T477" s="67"/>
      <c r="U477" s="23"/>
      <c r="V477" s="105"/>
      <c r="X477" s="24"/>
      <c r="Y477" s="18"/>
    </row>
    <row r="478" spans="1:25" ht="12.5" x14ac:dyDescent="0.25">
      <c r="A478" s="15"/>
      <c r="O478" s="32"/>
      <c r="Q478" s="14"/>
      <c r="T478" s="67"/>
      <c r="U478" s="23"/>
      <c r="V478" s="105"/>
      <c r="X478" s="24"/>
      <c r="Y478" s="18"/>
    </row>
    <row r="479" spans="1:25" ht="12.5" x14ac:dyDescent="0.25">
      <c r="A479" s="15"/>
      <c r="O479" s="32"/>
      <c r="Q479" s="14"/>
      <c r="T479" s="67"/>
      <c r="U479" s="23"/>
      <c r="V479" s="105"/>
      <c r="X479" s="24"/>
      <c r="Y479" s="18"/>
    </row>
    <row r="480" spans="1:25" ht="12.5" x14ac:dyDescent="0.25">
      <c r="A480" s="15"/>
      <c r="O480" s="32"/>
      <c r="Q480" s="14"/>
      <c r="T480" s="67"/>
      <c r="U480" s="23"/>
      <c r="V480" s="105"/>
      <c r="X480" s="24"/>
      <c r="Y480" s="18"/>
    </row>
    <row r="481" spans="1:25" ht="12.5" x14ac:dyDescent="0.25">
      <c r="A481" s="15"/>
      <c r="O481" s="32"/>
      <c r="Q481" s="14"/>
      <c r="T481" s="67"/>
      <c r="U481" s="23"/>
      <c r="V481" s="105"/>
      <c r="X481" s="24"/>
      <c r="Y481" s="18"/>
    </row>
    <row r="482" spans="1:25" ht="12.5" x14ac:dyDescent="0.25">
      <c r="A482" s="15"/>
      <c r="O482" s="32"/>
      <c r="Q482" s="14"/>
      <c r="T482" s="67"/>
      <c r="U482" s="23"/>
      <c r="V482" s="105"/>
      <c r="X482" s="24"/>
      <c r="Y482" s="18"/>
    </row>
    <row r="483" spans="1:25" ht="12.5" x14ac:dyDescent="0.25">
      <c r="A483" s="15"/>
      <c r="O483" s="32"/>
      <c r="Q483" s="14"/>
      <c r="T483" s="67"/>
      <c r="U483" s="23"/>
      <c r="V483" s="105"/>
      <c r="X483" s="24"/>
      <c r="Y483" s="18"/>
    </row>
    <row r="484" spans="1:25" ht="12.5" x14ac:dyDescent="0.25">
      <c r="A484" s="15"/>
      <c r="O484" s="32"/>
      <c r="Q484" s="14"/>
      <c r="T484" s="67"/>
      <c r="U484" s="23"/>
      <c r="V484" s="105"/>
      <c r="X484" s="24"/>
      <c r="Y484" s="18"/>
    </row>
    <row r="485" spans="1:25" ht="12.5" x14ac:dyDescent="0.25">
      <c r="A485" s="15"/>
      <c r="O485" s="32"/>
      <c r="Q485" s="14"/>
      <c r="T485" s="67"/>
      <c r="U485" s="23"/>
      <c r="V485" s="105"/>
      <c r="X485" s="24"/>
      <c r="Y485" s="18"/>
    </row>
    <row r="486" spans="1:25" ht="12.5" x14ac:dyDescent="0.25">
      <c r="A486" s="15"/>
      <c r="O486" s="32"/>
      <c r="Q486" s="14"/>
      <c r="T486" s="67"/>
      <c r="U486" s="23"/>
      <c r="V486" s="105"/>
      <c r="X486" s="24"/>
      <c r="Y486" s="18"/>
    </row>
    <row r="487" spans="1:25" ht="12.5" x14ac:dyDescent="0.25">
      <c r="A487" s="15"/>
      <c r="O487" s="32"/>
      <c r="Q487" s="14"/>
      <c r="T487" s="67"/>
      <c r="U487" s="23"/>
      <c r="V487" s="105"/>
      <c r="X487" s="24"/>
      <c r="Y487" s="18"/>
    </row>
    <row r="488" spans="1:25" ht="12.5" x14ac:dyDescent="0.25">
      <c r="A488" s="15"/>
      <c r="O488" s="32"/>
      <c r="Q488" s="14"/>
      <c r="T488" s="67"/>
      <c r="U488" s="23"/>
      <c r="V488" s="105"/>
      <c r="X488" s="24"/>
      <c r="Y488" s="18"/>
    </row>
    <row r="489" spans="1:25" ht="12.5" x14ac:dyDescent="0.25">
      <c r="A489" s="15"/>
      <c r="O489" s="32"/>
      <c r="Q489" s="14"/>
      <c r="T489" s="67"/>
      <c r="U489" s="23"/>
      <c r="V489" s="105"/>
      <c r="X489" s="24"/>
      <c r="Y489" s="18"/>
    </row>
    <row r="490" spans="1:25" ht="12.5" x14ac:dyDescent="0.25">
      <c r="A490" s="15"/>
      <c r="O490" s="32"/>
      <c r="Q490" s="14"/>
      <c r="T490" s="67"/>
      <c r="U490" s="23"/>
      <c r="V490" s="105"/>
      <c r="X490" s="24"/>
      <c r="Y490" s="18"/>
    </row>
    <row r="491" spans="1:25" ht="12.5" x14ac:dyDescent="0.25">
      <c r="A491" s="15"/>
      <c r="O491" s="32"/>
      <c r="Q491" s="14"/>
      <c r="T491" s="67"/>
      <c r="U491" s="23"/>
      <c r="V491" s="105"/>
      <c r="X491" s="24"/>
      <c r="Y491" s="18"/>
    </row>
    <row r="492" spans="1:25" ht="12.5" x14ac:dyDescent="0.25">
      <c r="A492" s="15"/>
      <c r="O492" s="32"/>
      <c r="Q492" s="14"/>
      <c r="T492" s="67"/>
      <c r="U492" s="23"/>
      <c r="V492" s="105"/>
      <c r="X492" s="24"/>
      <c r="Y492" s="18"/>
    </row>
    <row r="493" spans="1:25" ht="12.5" x14ac:dyDescent="0.25">
      <c r="A493" s="15"/>
      <c r="O493" s="32"/>
      <c r="Q493" s="14"/>
      <c r="T493" s="67"/>
      <c r="U493" s="23"/>
      <c r="V493" s="105"/>
      <c r="X493" s="24"/>
      <c r="Y493" s="18"/>
    </row>
    <row r="494" spans="1:25" ht="12.5" x14ac:dyDescent="0.25">
      <c r="A494" s="15"/>
      <c r="O494" s="32"/>
      <c r="Q494" s="14"/>
      <c r="T494" s="67"/>
      <c r="U494" s="23"/>
      <c r="V494" s="105"/>
      <c r="X494" s="24"/>
      <c r="Y494" s="18"/>
    </row>
    <row r="495" spans="1:25" ht="12.5" x14ac:dyDescent="0.25">
      <c r="A495" s="15"/>
      <c r="O495" s="32"/>
      <c r="Q495" s="14"/>
      <c r="T495" s="67"/>
      <c r="U495" s="23"/>
      <c r="V495" s="105"/>
      <c r="X495" s="24"/>
      <c r="Y495" s="18"/>
    </row>
    <row r="496" spans="1:25" ht="12.5" x14ac:dyDescent="0.25">
      <c r="A496" s="15"/>
      <c r="O496" s="32"/>
      <c r="Q496" s="14"/>
      <c r="T496" s="67"/>
      <c r="U496" s="23"/>
      <c r="V496" s="105"/>
      <c r="X496" s="24"/>
      <c r="Y496" s="18"/>
    </row>
    <row r="497" spans="1:25" ht="12.5" x14ac:dyDescent="0.25">
      <c r="A497" s="15"/>
      <c r="O497" s="32"/>
      <c r="Q497" s="14"/>
      <c r="T497" s="67"/>
      <c r="U497" s="23"/>
      <c r="V497" s="105"/>
      <c r="X497" s="24"/>
      <c r="Y497" s="18"/>
    </row>
    <row r="498" spans="1:25" ht="12.5" x14ac:dyDescent="0.25">
      <c r="A498" s="15"/>
      <c r="O498" s="32"/>
      <c r="Q498" s="14"/>
      <c r="T498" s="67"/>
      <c r="U498" s="23"/>
      <c r="V498" s="105"/>
      <c r="X498" s="24"/>
      <c r="Y498" s="18"/>
    </row>
    <row r="499" spans="1:25" ht="12.5" x14ac:dyDescent="0.25">
      <c r="A499" s="15"/>
      <c r="O499" s="32"/>
      <c r="Q499" s="14"/>
      <c r="T499" s="67"/>
      <c r="U499" s="23"/>
      <c r="V499" s="105"/>
      <c r="X499" s="24"/>
      <c r="Y499" s="18"/>
    </row>
    <row r="500" spans="1:25" ht="12.5" x14ac:dyDescent="0.25">
      <c r="A500" s="15"/>
      <c r="O500" s="32"/>
      <c r="Q500" s="14"/>
      <c r="T500" s="67"/>
      <c r="U500" s="23"/>
      <c r="V500" s="105"/>
      <c r="X500" s="24"/>
      <c r="Y500" s="18"/>
    </row>
    <row r="501" spans="1:25" ht="12.5" x14ac:dyDescent="0.25">
      <c r="A501" s="15"/>
      <c r="O501" s="32"/>
      <c r="Q501" s="14"/>
      <c r="T501" s="67"/>
      <c r="U501" s="23"/>
      <c r="V501" s="105"/>
      <c r="X501" s="24"/>
      <c r="Y501" s="18"/>
    </row>
    <row r="502" spans="1:25" ht="12.5" x14ac:dyDescent="0.25">
      <c r="A502" s="15"/>
      <c r="O502" s="32"/>
      <c r="Q502" s="14"/>
      <c r="T502" s="67"/>
      <c r="U502" s="23"/>
      <c r="V502" s="105"/>
      <c r="X502" s="24"/>
      <c r="Y502" s="18"/>
    </row>
    <row r="503" spans="1:25" ht="12.5" x14ac:dyDescent="0.25">
      <c r="A503" s="15"/>
      <c r="O503" s="32"/>
      <c r="Q503" s="14"/>
      <c r="T503" s="67"/>
      <c r="U503" s="23"/>
      <c r="V503" s="105"/>
      <c r="X503" s="24"/>
      <c r="Y503" s="18"/>
    </row>
    <row r="504" spans="1:25" ht="12.5" x14ac:dyDescent="0.25">
      <c r="A504" s="15"/>
      <c r="O504" s="32"/>
      <c r="Q504" s="14"/>
      <c r="T504" s="67"/>
      <c r="U504" s="23"/>
      <c r="V504" s="105"/>
      <c r="X504" s="24"/>
      <c r="Y504" s="18"/>
    </row>
    <row r="505" spans="1:25" ht="12.5" x14ac:dyDescent="0.25">
      <c r="A505" s="15"/>
      <c r="O505" s="32"/>
      <c r="Q505" s="14"/>
      <c r="T505" s="67"/>
      <c r="U505" s="23"/>
      <c r="V505" s="105"/>
      <c r="X505" s="24"/>
      <c r="Y505" s="18"/>
    </row>
    <row r="506" spans="1:25" ht="12.5" x14ac:dyDescent="0.25">
      <c r="A506" s="15"/>
      <c r="O506" s="32"/>
      <c r="Q506" s="14"/>
      <c r="T506" s="67"/>
      <c r="U506" s="23"/>
      <c r="V506" s="105"/>
      <c r="X506" s="24"/>
      <c r="Y506" s="18"/>
    </row>
    <row r="507" spans="1:25" ht="12.5" x14ac:dyDescent="0.25">
      <c r="A507" s="15"/>
      <c r="O507" s="32"/>
      <c r="Q507" s="14"/>
      <c r="T507" s="67"/>
      <c r="U507" s="23"/>
      <c r="V507" s="105"/>
      <c r="X507" s="24"/>
      <c r="Y507" s="18"/>
    </row>
    <row r="508" spans="1:25" ht="12.5" x14ac:dyDescent="0.25">
      <c r="A508" s="15"/>
      <c r="O508" s="32"/>
      <c r="Q508" s="14"/>
      <c r="T508" s="67"/>
      <c r="U508" s="23"/>
      <c r="V508" s="105"/>
      <c r="X508" s="24"/>
      <c r="Y508" s="18"/>
    </row>
    <row r="509" spans="1:25" ht="12.5" x14ac:dyDescent="0.25">
      <c r="A509" s="15"/>
      <c r="O509" s="32"/>
      <c r="Q509" s="14"/>
      <c r="T509" s="67"/>
      <c r="U509" s="23"/>
      <c r="V509" s="105"/>
      <c r="X509" s="24"/>
      <c r="Y509" s="18"/>
    </row>
    <row r="510" spans="1:25" ht="12.5" x14ac:dyDescent="0.25">
      <c r="A510" s="15"/>
      <c r="O510" s="32"/>
      <c r="Q510" s="14"/>
      <c r="T510" s="67"/>
      <c r="U510" s="23"/>
      <c r="V510" s="105"/>
      <c r="X510" s="24"/>
      <c r="Y510" s="18"/>
    </row>
    <row r="511" spans="1:25" ht="12.5" x14ac:dyDescent="0.25">
      <c r="A511" s="15"/>
      <c r="O511" s="32"/>
      <c r="Q511" s="14"/>
      <c r="T511" s="67"/>
      <c r="U511" s="23"/>
      <c r="V511" s="105"/>
      <c r="X511" s="24"/>
      <c r="Y511" s="18"/>
    </row>
    <row r="512" spans="1:25" ht="12.5" x14ac:dyDescent="0.25">
      <c r="A512" s="15"/>
      <c r="O512" s="32"/>
      <c r="Q512" s="14"/>
      <c r="T512" s="67"/>
      <c r="U512" s="23"/>
      <c r="V512" s="105"/>
      <c r="X512" s="24"/>
      <c r="Y512" s="18"/>
    </row>
    <row r="513" spans="1:25" ht="12.5" x14ac:dyDescent="0.25">
      <c r="A513" s="15"/>
      <c r="O513" s="32"/>
      <c r="Q513" s="14"/>
      <c r="T513" s="67"/>
      <c r="U513" s="23"/>
      <c r="V513" s="105"/>
      <c r="X513" s="24"/>
      <c r="Y513" s="18"/>
    </row>
    <row r="514" spans="1:25" ht="12.5" x14ac:dyDescent="0.25">
      <c r="A514" s="15"/>
      <c r="O514" s="32"/>
      <c r="Q514" s="14"/>
      <c r="T514" s="67"/>
      <c r="U514" s="23"/>
      <c r="V514" s="105"/>
      <c r="X514" s="24"/>
      <c r="Y514" s="18"/>
    </row>
    <row r="515" spans="1:25" ht="12.5" x14ac:dyDescent="0.25">
      <c r="A515" s="15"/>
      <c r="O515" s="32"/>
      <c r="Q515" s="14"/>
      <c r="T515" s="67"/>
      <c r="U515" s="23"/>
      <c r="V515" s="105"/>
      <c r="X515" s="24"/>
      <c r="Y515" s="18"/>
    </row>
    <row r="516" spans="1:25" ht="12.5" x14ac:dyDescent="0.25">
      <c r="A516" s="15"/>
      <c r="O516" s="32"/>
      <c r="Q516" s="14"/>
      <c r="T516" s="67"/>
      <c r="U516" s="23"/>
      <c r="V516" s="105"/>
      <c r="X516" s="24"/>
      <c r="Y516" s="18"/>
    </row>
    <row r="517" spans="1:25" ht="12.5" x14ac:dyDescent="0.25">
      <c r="A517" s="15"/>
      <c r="O517" s="32"/>
      <c r="Q517" s="14"/>
      <c r="T517" s="67"/>
      <c r="U517" s="23"/>
      <c r="V517" s="105"/>
      <c r="X517" s="24"/>
      <c r="Y517" s="18"/>
    </row>
    <row r="518" spans="1:25" ht="12.5" x14ac:dyDescent="0.25">
      <c r="A518" s="15"/>
      <c r="O518" s="32"/>
      <c r="Q518" s="14"/>
      <c r="T518" s="67"/>
      <c r="U518" s="23"/>
      <c r="V518" s="105"/>
      <c r="X518" s="24"/>
      <c r="Y518" s="18"/>
    </row>
    <row r="519" spans="1:25" ht="12.5" x14ac:dyDescent="0.25">
      <c r="A519" s="15"/>
      <c r="O519" s="32"/>
      <c r="Q519" s="14"/>
      <c r="T519" s="67"/>
      <c r="U519" s="23"/>
      <c r="V519" s="105"/>
      <c r="X519" s="24"/>
      <c r="Y519" s="18"/>
    </row>
    <row r="520" spans="1:25" ht="12.5" x14ac:dyDescent="0.25">
      <c r="A520" s="15"/>
      <c r="O520" s="32"/>
      <c r="Q520" s="14"/>
      <c r="T520" s="67"/>
      <c r="U520" s="23"/>
      <c r="V520" s="105"/>
      <c r="X520" s="24"/>
      <c r="Y520" s="18"/>
    </row>
    <row r="521" spans="1:25" ht="12.5" x14ac:dyDescent="0.25">
      <c r="A521" s="15"/>
      <c r="O521" s="32"/>
      <c r="Q521" s="14"/>
      <c r="T521" s="67"/>
      <c r="U521" s="23"/>
      <c r="V521" s="105"/>
      <c r="X521" s="24"/>
      <c r="Y521" s="18"/>
    </row>
    <row r="522" spans="1:25" ht="12.5" x14ac:dyDescent="0.25">
      <c r="A522" s="15"/>
      <c r="O522" s="32"/>
      <c r="Q522" s="14"/>
      <c r="T522" s="67"/>
      <c r="U522" s="23"/>
      <c r="V522" s="105"/>
      <c r="X522" s="24"/>
      <c r="Y522" s="18"/>
    </row>
    <row r="523" spans="1:25" ht="12.5" x14ac:dyDescent="0.25">
      <c r="A523" s="15"/>
      <c r="O523" s="32"/>
      <c r="Q523" s="14"/>
      <c r="T523" s="67"/>
      <c r="U523" s="23"/>
      <c r="V523" s="105"/>
      <c r="X523" s="24"/>
      <c r="Y523" s="18"/>
    </row>
    <row r="524" spans="1:25" ht="12.5" x14ac:dyDescent="0.25">
      <c r="A524" s="15"/>
      <c r="O524" s="32"/>
      <c r="Q524" s="14"/>
      <c r="T524" s="67"/>
      <c r="U524" s="23"/>
      <c r="V524" s="105"/>
      <c r="X524" s="24"/>
      <c r="Y524" s="18"/>
    </row>
    <row r="525" spans="1:25" ht="12.5" x14ac:dyDescent="0.25">
      <c r="A525" s="15"/>
      <c r="O525" s="32"/>
      <c r="Q525" s="14"/>
      <c r="T525" s="67"/>
      <c r="U525" s="23"/>
      <c r="V525" s="105"/>
      <c r="X525" s="24"/>
      <c r="Y525" s="18"/>
    </row>
    <row r="526" spans="1:25" ht="12.5" x14ac:dyDescent="0.25">
      <c r="A526" s="15"/>
      <c r="O526" s="32"/>
      <c r="Q526" s="14"/>
      <c r="T526" s="67"/>
      <c r="U526" s="23"/>
      <c r="V526" s="105"/>
      <c r="X526" s="24"/>
      <c r="Y526" s="18"/>
    </row>
    <row r="527" spans="1:25" ht="12.5" x14ac:dyDescent="0.25">
      <c r="A527" s="15"/>
      <c r="O527" s="32"/>
      <c r="Q527" s="14"/>
      <c r="T527" s="67"/>
      <c r="U527" s="23"/>
      <c r="V527" s="105"/>
      <c r="X527" s="24"/>
      <c r="Y527" s="18"/>
    </row>
    <row r="528" spans="1:25" ht="12.5" x14ac:dyDescent="0.25">
      <c r="A528" s="15"/>
      <c r="O528" s="32"/>
      <c r="Q528" s="14"/>
      <c r="T528" s="67"/>
      <c r="U528" s="23"/>
      <c r="V528" s="105"/>
      <c r="X528" s="24"/>
      <c r="Y528" s="18"/>
    </row>
    <row r="529" spans="1:25" ht="12.5" x14ac:dyDescent="0.25">
      <c r="A529" s="15"/>
      <c r="O529" s="32"/>
      <c r="Q529" s="14"/>
      <c r="T529" s="67"/>
      <c r="U529" s="23"/>
      <c r="V529" s="105"/>
      <c r="X529" s="24"/>
      <c r="Y529" s="18"/>
    </row>
    <row r="530" spans="1:25" ht="12.5" x14ac:dyDescent="0.25">
      <c r="A530" s="15"/>
      <c r="O530" s="32"/>
      <c r="Q530" s="14"/>
      <c r="T530" s="67"/>
      <c r="U530" s="23"/>
      <c r="V530" s="105"/>
      <c r="X530" s="24"/>
      <c r="Y530" s="18"/>
    </row>
    <row r="531" spans="1:25" ht="12.5" x14ac:dyDescent="0.25">
      <c r="A531" s="15"/>
      <c r="O531" s="32"/>
      <c r="Q531" s="14"/>
      <c r="T531" s="67"/>
      <c r="U531" s="23"/>
      <c r="V531" s="105"/>
      <c r="X531" s="24"/>
      <c r="Y531" s="18"/>
    </row>
    <row r="532" spans="1:25" ht="12.5" x14ac:dyDescent="0.25">
      <c r="A532" s="15"/>
      <c r="O532" s="32"/>
      <c r="Q532" s="14"/>
      <c r="T532" s="67"/>
      <c r="U532" s="23"/>
      <c r="V532" s="105"/>
      <c r="X532" s="24"/>
      <c r="Y532" s="18"/>
    </row>
    <row r="533" spans="1:25" ht="12.5" x14ac:dyDescent="0.25">
      <c r="A533" s="15"/>
      <c r="O533" s="32"/>
      <c r="Q533" s="14"/>
      <c r="T533" s="67"/>
      <c r="U533" s="23"/>
      <c r="V533" s="105"/>
      <c r="X533" s="24"/>
      <c r="Y533" s="18"/>
    </row>
    <row r="534" spans="1:25" ht="12.5" x14ac:dyDescent="0.25">
      <c r="A534" s="15"/>
      <c r="O534" s="32"/>
      <c r="Q534" s="14"/>
      <c r="T534" s="67"/>
      <c r="U534" s="23"/>
      <c r="V534" s="105"/>
      <c r="X534" s="24"/>
      <c r="Y534" s="18"/>
    </row>
    <row r="535" spans="1:25" ht="12.5" x14ac:dyDescent="0.25">
      <c r="A535" s="15"/>
      <c r="O535" s="32"/>
      <c r="Q535" s="14"/>
      <c r="T535" s="67"/>
      <c r="U535" s="23"/>
      <c r="V535" s="105"/>
      <c r="X535" s="24"/>
      <c r="Y535" s="18"/>
    </row>
    <row r="536" spans="1:25" ht="12.5" x14ac:dyDescent="0.25">
      <c r="A536" s="15"/>
      <c r="O536" s="32"/>
      <c r="Q536" s="14"/>
      <c r="T536" s="67"/>
      <c r="U536" s="23"/>
      <c r="V536" s="105"/>
      <c r="X536" s="24"/>
      <c r="Y536" s="18"/>
    </row>
    <row r="537" spans="1:25" ht="12.5" x14ac:dyDescent="0.25">
      <c r="A537" s="15"/>
      <c r="O537" s="32"/>
      <c r="Q537" s="14"/>
      <c r="T537" s="67"/>
      <c r="U537" s="23"/>
      <c r="V537" s="105"/>
      <c r="X537" s="24"/>
      <c r="Y537" s="18"/>
    </row>
    <row r="538" spans="1:25" ht="12.5" x14ac:dyDescent="0.25">
      <c r="A538" s="15"/>
      <c r="O538" s="32"/>
      <c r="Q538" s="14"/>
      <c r="T538" s="67"/>
      <c r="U538" s="23"/>
      <c r="V538" s="105"/>
      <c r="X538" s="24"/>
      <c r="Y538" s="18"/>
    </row>
    <row r="539" spans="1:25" ht="12.5" x14ac:dyDescent="0.25">
      <c r="A539" s="15"/>
      <c r="O539" s="32"/>
      <c r="Q539" s="14"/>
      <c r="T539" s="67"/>
      <c r="U539" s="23"/>
      <c r="V539" s="105"/>
      <c r="X539" s="24"/>
      <c r="Y539" s="18"/>
    </row>
    <row r="540" spans="1:25" ht="12.5" x14ac:dyDescent="0.25">
      <c r="A540" s="15"/>
      <c r="O540" s="32"/>
      <c r="Q540" s="14"/>
      <c r="T540" s="67"/>
      <c r="U540" s="23"/>
      <c r="V540" s="105"/>
      <c r="X540" s="24"/>
      <c r="Y540" s="18"/>
    </row>
    <row r="541" spans="1:25" ht="12.5" x14ac:dyDescent="0.25">
      <c r="A541" s="15"/>
      <c r="O541" s="32"/>
      <c r="Q541" s="14"/>
      <c r="T541" s="67"/>
      <c r="U541" s="23"/>
      <c r="V541" s="105"/>
      <c r="X541" s="24"/>
      <c r="Y541" s="18"/>
    </row>
    <row r="542" spans="1:25" ht="12.5" x14ac:dyDescent="0.25">
      <c r="A542" s="15"/>
      <c r="O542" s="32"/>
      <c r="Q542" s="14"/>
      <c r="T542" s="67"/>
      <c r="U542" s="23"/>
      <c r="V542" s="105"/>
      <c r="X542" s="24"/>
      <c r="Y542" s="18"/>
    </row>
    <row r="543" spans="1:25" ht="12.5" x14ac:dyDescent="0.25">
      <c r="A543" s="15"/>
      <c r="O543" s="32"/>
      <c r="Q543" s="14"/>
      <c r="T543" s="67"/>
      <c r="U543" s="23"/>
      <c r="V543" s="105"/>
      <c r="X543" s="24"/>
      <c r="Y543" s="18"/>
    </row>
    <row r="544" spans="1:25" ht="12.5" x14ac:dyDescent="0.25">
      <c r="A544" s="15"/>
      <c r="O544" s="32"/>
      <c r="Q544" s="14"/>
      <c r="T544" s="67"/>
      <c r="U544" s="23"/>
      <c r="V544" s="105"/>
      <c r="X544" s="24"/>
      <c r="Y544" s="18"/>
    </row>
    <row r="545" spans="1:25" ht="12.5" x14ac:dyDescent="0.25">
      <c r="A545" s="15"/>
      <c r="O545" s="32"/>
      <c r="Q545" s="14"/>
      <c r="T545" s="67"/>
      <c r="U545" s="23"/>
      <c r="V545" s="105"/>
      <c r="X545" s="24"/>
      <c r="Y545" s="18"/>
    </row>
    <row r="546" spans="1:25" ht="12.5" x14ac:dyDescent="0.25">
      <c r="A546" s="15"/>
      <c r="O546" s="32"/>
      <c r="Q546" s="14"/>
      <c r="T546" s="67"/>
      <c r="U546" s="23"/>
      <c r="V546" s="105"/>
      <c r="X546" s="24"/>
      <c r="Y546" s="18"/>
    </row>
    <row r="547" spans="1:25" ht="12.5" x14ac:dyDescent="0.25">
      <c r="A547" s="15"/>
      <c r="O547" s="32"/>
      <c r="Q547" s="14"/>
      <c r="T547" s="67"/>
      <c r="U547" s="23"/>
      <c r="V547" s="105"/>
      <c r="X547" s="24"/>
      <c r="Y547" s="18"/>
    </row>
    <row r="548" spans="1:25" ht="12.5" x14ac:dyDescent="0.25">
      <c r="A548" s="15"/>
      <c r="O548" s="32"/>
      <c r="Q548" s="14"/>
      <c r="T548" s="67"/>
      <c r="U548" s="23"/>
      <c r="V548" s="105"/>
      <c r="X548" s="24"/>
      <c r="Y548" s="18"/>
    </row>
    <row r="549" spans="1:25" ht="12.5" x14ac:dyDescent="0.25">
      <c r="A549" s="15"/>
      <c r="O549" s="32"/>
      <c r="Q549" s="14"/>
      <c r="T549" s="67"/>
      <c r="U549" s="23"/>
      <c r="V549" s="105"/>
      <c r="X549" s="24"/>
      <c r="Y549" s="18"/>
    </row>
    <row r="550" spans="1:25" ht="12.5" x14ac:dyDescent="0.25">
      <c r="A550" s="15"/>
      <c r="O550" s="32"/>
      <c r="Q550" s="14"/>
      <c r="T550" s="67"/>
      <c r="U550" s="23"/>
      <c r="V550" s="105"/>
      <c r="X550" s="24"/>
      <c r="Y550" s="18"/>
    </row>
    <row r="551" spans="1:25" ht="12.5" x14ac:dyDescent="0.25">
      <c r="A551" s="15"/>
      <c r="O551" s="32"/>
      <c r="Q551" s="14"/>
      <c r="T551" s="67"/>
      <c r="U551" s="23"/>
      <c r="V551" s="105"/>
      <c r="X551" s="24"/>
      <c r="Y551" s="18"/>
    </row>
    <row r="552" spans="1:25" ht="12.5" x14ac:dyDescent="0.25">
      <c r="A552" s="15"/>
      <c r="O552" s="32"/>
      <c r="Q552" s="14"/>
      <c r="T552" s="67"/>
      <c r="U552" s="23"/>
      <c r="V552" s="105"/>
      <c r="X552" s="24"/>
      <c r="Y552" s="18"/>
    </row>
    <row r="553" spans="1:25" ht="12.5" x14ac:dyDescent="0.25">
      <c r="A553" s="15"/>
      <c r="O553" s="32"/>
      <c r="Q553" s="14"/>
      <c r="T553" s="67"/>
      <c r="U553" s="23"/>
      <c r="V553" s="105"/>
      <c r="X553" s="24"/>
      <c r="Y553" s="18"/>
    </row>
    <row r="554" spans="1:25" ht="12.5" x14ac:dyDescent="0.25">
      <c r="A554" s="15"/>
      <c r="O554" s="32"/>
      <c r="Q554" s="14"/>
      <c r="T554" s="67"/>
      <c r="U554" s="23"/>
      <c r="V554" s="105"/>
      <c r="X554" s="24"/>
      <c r="Y554" s="18"/>
    </row>
    <row r="555" spans="1:25" ht="12.5" x14ac:dyDescent="0.25">
      <c r="A555" s="15"/>
      <c r="O555" s="32"/>
      <c r="Q555" s="14"/>
      <c r="T555" s="67"/>
      <c r="U555" s="23"/>
      <c r="V555" s="105"/>
      <c r="X555" s="24"/>
      <c r="Y555" s="18"/>
    </row>
    <row r="556" spans="1:25" ht="12.5" x14ac:dyDescent="0.25">
      <c r="A556" s="15"/>
      <c r="O556" s="32"/>
      <c r="Q556" s="14"/>
      <c r="T556" s="67"/>
      <c r="U556" s="23"/>
      <c r="V556" s="105"/>
      <c r="X556" s="24"/>
      <c r="Y556" s="18"/>
    </row>
    <row r="557" spans="1:25" ht="12.5" x14ac:dyDescent="0.25">
      <c r="A557" s="15"/>
      <c r="O557" s="32"/>
      <c r="Q557" s="14"/>
      <c r="T557" s="67"/>
      <c r="U557" s="23"/>
      <c r="V557" s="105"/>
      <c r="X557" s="24"/>
      <c r="Y557" s="18"/>
    </row>
    <row r="558" spans="1:25" ht="12.5" x14ac:dyDescent="0.25">
      <c r="A558" s="15"/>
      <c r="O558" s="32"/>
      <c r="Q558" s="14"/>
      <c r="T558" s="67"/>
      <c r="U558" s="23"/>
      <c r="V558" s="105"/>
      <c r="X558" s="24"/>
      <c r="Y558" s="18"/>
    </row>
    <row r="559" spans="1:25" ht="12.5" x14ac:dyDescent="0.25">
      <c r="A559" s="15"/>
      <c r="O559" s="32"/>
      <c r="Q559" s="14"/>
      <c r="T559" s="67"/>
      <c r="U559" s="23"/>
      <c r="V559" s="105"/>
      <c r="X559" s="24"/>
      <c r="Y559" s="18"/>
    </row>
    <row r="560" spans="1:25" ht="12.5" x14ac:dyDescent="0.25">
      <c r="A560" s="15"/>
      <c r="O560" s="32"/>
      <c r="Q560" s="14"/>
      <c r="T560" s="67"/>
      <c r="U560" s="23"/>
      <c r="V560" s="105"/>
      <c r="X560" s="24"/>
      <c r="Y560" s="18"/>
    </row>
    <row r="561" spans="1:25" ht="12.5" x14ac:dyDescent="0.25">
      <c r="A561" s="15"/>
      <c r="O561" s="32"/>
      <c r="Q561" s="14"/>
      <c r="T561" s="67"/>
      <c r="U561" s="23"/>
      <c r="V561" s="105"/>
      <c r="X561" s="24"/>
      <c r="Y561" s="18"/>
    </row>
    <row r="562" spans="1:25" ht="12.5" x14ac:dyDescent="0.25">
      <c r="A562" s="15"/>
      <c r="O562" s="32"/>
      <c r="Q562" s="14"/>
      <c r="T562" s="67"/>
      <c r="U562" s="23"/>
      <c r="V562" s="105"/>
      <c r="X562" s="24"/>
      <c r="Y562" s="18"/>
    </row>
    <row r="563" spans="1:25" ht="12.5" x14ac:dyDescent="0.25">
      <c r="A563" s="15"/>
      <c r="O563" s="32"/>
      <c r="Q563" s="14"/>
      <c r="T563" s="67"/>
      <c r="U563" s="23"/>
      <c r="V563" s="105"/>
      <c r="X563" s="24"/>
      <c r="Y563" s="18"/>
    </row>
    <row r="564" spans="1:25" ht="12.5" x14ac:dyDescent="0.25">
      <c r="A564" s="15"/>
      <c r="O564" s="32"/>
      <c r="Q564" s="14"/>
      <c r="T564" s="67"/>
      <c r="U564" s="23"/>
      <c r="V564" s="105"/>
      <c r="X564" s="24"/>
      <c r="Y564" s="18"/>
    </row>
    <row r="565" spans="1:25" ht="12.5" x14ac:dyDescent="0.25">
      <c r="A565" s="15"/>
      <c r="O565" s="32"/>
      <c r="Q565" s="14"/>
      <c r="T565" s="67"/>
      <c r="U565" s="23"/>
      <c r="V565" s="105"/>
      <c r="X565" s="24"/>
      <c r="Y565" s="18"/>
    </row>
    <row r="566" spans="1:25" ht="12.5" x14ac:dyDescent="0.25">
      <c r="A566" s="15"/>
      <c r="O566" s="32"/>
      <c r="Q566" s="14"/>
      <c r="T566" s="67"/>
      <c r="U566" s="23"/>
      <c r="V566" s="105"/>
      <c r="X566" s="24"/>
      <c r="Y566" s="18"/>
    </row>
    <row r="567" spans="1:25" ht="12.5" x14ac:dyDescent="0.25">
      <c r="A567" s="15"/>
      <c r="O567" s="32"/>
      <c r="Q567" s="14"/>
      <c r="T567" s="67"/>
      <c r="U567" s="23"/>
      <c r="V567" s="105"/>
      <c r="X567" s="24"/>
      <c r="Y567" s="18"/>
    </row>
    <row r="568" spans="1:25" ht="12.5" x14ac:dyDescent="0.25">
      <c r="A568" s="15"/>
      <c r="O568" s="32"/>
      <c r="Q568" s="14"/>
      <c r="T568" s="67"/>
      <c r="U568" s="23"/>
      <c r="V568" s="105"/>
      <c r="X568" s="24"/>
      <c r="Y568" s="18"/>
    </row>
    <row r="569" spans="1:25" ht="12.5" x14ac:dyDescent="0.25">
      <c r="A569" s="15"/>
      <c r="O569" s="32"/>
      <c r="Q569" s="14"/>
      <c r="T569" s="67"/>
      <c r="U569" s="23"/>
      <c r="V569" s="105"/>
      <c r="X569" s="24"/>
      <c r="Y569" s="18"/>
    </row>
    <row r="570" spans="1:25" ht="12.5" x14ac:dyDescent="0.25">
      <c r="A570" s="15"/>
      <c r="O570" s="32"/>
      <c r="Q570" s="14"/>
      <c r="T570" s="67"/>
      <c r="U570" s="23"/>
      <c r="V570" s="105"/>
      <c r="X570" s="24"/>
      <c r="Y570" s="18"/>
    </row>
    <row r="571" spans="1:25" ht="12.5" x14ac:dyDescent="0.25">
      <c r="A571" s="15"/>
      <c r="O571" s="32"/>
      <c r="Q571" s="14"/>
      <c r="T571" s="67"/>
      <c r="U571" s="23"/>
      <c r="V571" s="105"/>
      <c r="X571" s="24"/>
      <c r="Y571" s="18"/>
    </row>
    <row r="572" spans="1:25" ht="12.5" x14ac:dyDescent="0.25">
      <c r="A572" s="15"/>
      <c r="O572" s="32"/>
      <c r="Q572" s="14"/>
      <c r="T572" s="67"/>
      <c r="U572" s="23"/>
      <c r="V572" s="105"/>
      <c r="X572" s="24"/>
      <c r="Y572" s="18"/>
    </row>
    <row r="573" spans="1:25" ht="12.5" x14ac:dyDescent="0.25">
      <c r="A573" s="15"/>
      <c r="O573" s="32"/>
      <c r="Q573" s="14"/>
      <c r="T573" s="67"/>
      <c r="U573" s="23"/>
      <c r="V573" s="105"/>
      <c r="X573" s="24"/>
      <c r="Y573" s="18"/>
    </row>
    <row r="574" spans="1:25" ht="12.5" x14ac:dyDescent="0.25">
      <c r="A574" s="15"/>
      <c r="O574" s="32"/>
      <c r="Q574" s="14"/>
      <c r="T574" s="67"/>
      <c r="U574" s="23"/>
      <c r="V574" s="105"/>
      <c r="X574" s="24"/>
      <c r="Y574" s="18"/>
    </row>
    <row r="575" spans="1:25" ht="12.5" x14ac:dyDescent="0.25">
      <c r="A575" s="15"/>
      <c r="O575" s="32"/>
      <c r="Q575" s="14"/>
      <c r="T575" s="67"/>
      <c r="U575" s="23"/>
      <c r="V575" s="105"/>
      <c r="X575" s="24"/>
      <c r="Y575" s="18"/>
    </row>
    <row r="576" spans="1:25" ht="12.5" x14ac:dyDescent="0.25">
      <c r="A576" s="15"/>
      <c r="O576" s="32"/>
      <c r="Q576" s="14"/>
      <c r="T576" s="67"/>
      <c r="U576" s="23"/>
      <c r="V576" s="105"/>
      <c r="X576" s="24"/>
      <c r="Y576" s="18"/>
    </row>
    <row r="577" spans="1:25" ht="12.5" x14ac:dyDescent="0.25">
      <c r="A577" s="15"/>
      <c r="O577" s="32"/>
      <c r="Q577" s="14"/>
      <c r="T577" s="67"/>
      <c r="U577" s="23"/>
      <c r="V577" s="105"/>
      <c r="X577" s="24"/>
      <c r="Y577" s="18"/>
    </row>
    <row r="578" spans="1:25" ht="12.5" x14ac:dyDescent="0.25">
      <c r="A578" s="15"/>
      <c r="O578" s="32"/>
      <c r="Q578" s="14"/>
      <c r="T578" s="67"/>
      <c r="U578" s="23"/>
      <c r="V578" s="105"/>
      <c r="X578" s="24"/>
      <c r="Y578" s="18"/>
    </row>
    <row r="579" spans="1:25" ht="12.5" x14ac:dyDescent="0.25">
      <c r="A579" s="15"/>
      <c r="O579" s="32"/>
      <c r="Q579" s="14"/>
      <c r="T579" s="67"/>
      <c r="U579" s="23"/>
      <c r="V579" s="105"/>
      <c r="X579" s="24"/>
      <c r="Y579" s="18"/>
    </row>
    <row r="580" spans="1:25" ht="12.5" x14ac:dyDescent="0.25">
      <c r="A580" s="15"/>
      <c r="O580" s="32"/>
      <c r="Q580" s="14"/>
      <c r="T580" s="67"/>
      <c r="U580" s="23"/>
      <c r="V580" s="105"/>
      <c r="X580" s="24"/>
      <c r="Y580" s="18"/>
    </row>
    <row r="581" spans="1:25" ht="12.5" x14ac:dyDescent="0.25">
      <c r="A581" s="15"/>
      <c r="O581" s="32"/>
      <c r="Q581" s="14"/>
      <c r="T581" s="67"/>
      <c r="U581" s="23"/>
      <c r="V581" s="105"/>
      <c r="X581" s="24"/>
      <c r="Y581" s="18"/>
    </row>
    <row r="582" spans="1:25" ht="12.5" x14ac:dyDescent="0.25">
      <c r="A582" s="15"/>
      <c r="O582" s="32"/>
      <c r="Q582" s="14"/>
      <c r="T582" s="67"/>
      <c r="U582" s="23"/>
      <c r="V582" s="105"/>
      <c r="X582" s="24"/>
      <c r="Y582" s="18"/>
    </row>
    <row r="583" spans="1:25" ht="12.5" x14ac:dyDescent="0.25">
      <c r="A583" s="15"/>
      <c r="O583" s="32"/>
      <c r="Q583" s="14"/>
      <c r="T583" s="67"/>
      <c r="U583" s="23"/>
      <c r="V583" s="105"/>
      <c r="X583" s="24"/>
      <c r="Y583" s="18"/>
    </row>
    <row r="584" spans="1:25" ht="12.5" x14ac:dyDescent="0.25">
      <c r="A584" s="15"/>
      <c r="O584" s="32"/>
      <c r="Q584" s="14"/>
      <c r="T584" s="67"/>
      <c r="U584" s="23"/>
      <c r="V584" s="105"/>
      <c r="X584" s="24"/>
      <c r="Y584" s="18"/>
    </row>
    <row r="585" spans="1:25" ht="12.5" x14ac:dyDescent="0.25">
      <c r="A585" s="15"/>
      <c r="O585" s="32"/>
      <c r="Q585" s="14"/>
      <c r="T585" s="67"/>
      <c r="U585" s="23"/>
      <c r="V585" s="105"/>
      <c r="X585" s="24"/>
      <c r="Y585" s="18"/>
    </row>
    <row r="586" spans="1:25" ht="12.5" x14ac:dyDescent="0.25">
      <c r="A586" s="15"/>
      <c r="O586" s="32"/>
      <c r="Q586" s="14"/>
      <c r="T586" s="67"/>
      <c r="U586" s="23"/>
      <c r="V586" s="105"/>
      <c r="X586" s="24"/>
      <c r="Y586" s="18"/>
    </row>
    <row r="587" spans="1:25" ht="12.5" x14ac:dyDescent="0.25">
      <c r="A587" s="15"/>
      <c r="O587" s="32"/>
      <c r="Q587" s="14"/>
      <c r="T587" s="67"/>
      <c r="U587" s="23"/>
      <c r="V587" s="105"/>
      <c r="X587" s="24"/>
      <c r="Y587" s="18"/>
    </row>
    <row r="588" spans="1:25" ht="12.5" x14ac:dyDescent="0.25">
      <c r="A588" s="15"/>
      <c r="O588" s="32"/>
      <c r="Q588" s="14"/>
      <c r="T588" s="67"/>
      <c r="U588" s="23"/>
      <c r="V588" s="105"/>
      <c r="X588" s="24"/>
      <c r="Y588" s="18"/>
    </row>
    <row r="589" spans="1:25" ht="12.5" x14ac:dyDescent="0.25">
      <c r="A589" s="15"/>
      <c r="O589" s="32"/>
      <c r="Q589" s="14"/>
      <c r="T589" s="67"/>
      <c r="U589" s="23"/>
      <c r="V589" s="105"/>
      <c r="X589" s="24"/>
      <c r="Y589" s="18"/>
    </row>
    <row r="590" spans="1:25" ht="12.5" x14ac:dyDescent="0.25">
      <c r="A590" s="15"/>
      <c r="O590" s="32"/>
      <c r="Q590" s="14"/>
      <c r="T590" s="67"/>
      <c r="U590" s="23"/>
      <c r="V590" s="105"/>
      <c r="X590" s="24"/>
      <c r="Y590" s="18"/>
    </row>
    <row r="591" spans="1:25" ht="12.5" x14ac:dyDescent="0.25">
      <c r="A591" s="15"/>
      <c r="O591" s="32"/>
      <c r="Q591" s="14"/>
      <c r="T591" s="67"/>
      <c r="U591" s="23"/>
      <c r="V591" s="105"/>
      <c r="X591" s="24"/>
      <c r="Y591" s="18"/>
    </row>
    <row r="592" spans="1:25" ht="12.5" x14ac:dyDescent="0.25">
      <c r="A592" s="15"/>
      <c r="O592" s="32"/>
      <c r="Q592" s="14"/>
      <c r="T592" s="67"/>
      <c r="U592" s="23"/>
      <c r="V592" s="105"/>
      <c r="X592" s="24"/>
      <c r="Y592" s="18"/>
    </row>
    <row r="593" spans="1:25" ht="12.5" x14ac:dyDescent="0.25">
      <c r="A593" s="15"/>
      <c r="O593" s="32"/>
      <c r="Q593" s="14"/>
      <c r="T593" s="67"/>
      <c r="U593" s="23"/>
      <c r="V593" s="105"/>
      <c r="X593" s="24"/>
      <c r="Y593" s="18"/>
    </row>
    <row r="594" spans="1:25" ht="12.5" x14ac:dyDescent="0.25">
      <c r="A594" s="15"/>
      <c r="O594" s="32"/>
      <c r="Q594" s="14"/>
      <c r="T594" s="67"/>
      <c r="U594" s="23"/>
      <c r="V594" s="105"/>
      <c r="X594" s="24"/>
      <c r="Y594" s="18"/>
    </row>
    <row r="595" spans="1:25" ht="12.5" x14ac:dyDescent="0.25">
      <c r="A595" s="15"/>
      <c r="O595" s="32"/>
      <c r="Q595" s="14"/>
      <c r="T595" s="67"/>
      <c r="U595" s="23"/>
      <c r="V595" s="105"/>
      <c r="X595" s="24"/>
      <c r="Y595" s="18"/>
    </row>
    <row r="596" spans="1:25" ht="12.5" x14ac:dyDescent="0.25">
      <c r="A596" s="15"/>
      <c r="O596" s="32"/>
      <c r="Q596" s="14"/>
      <c r="T596" s="67"/>
      <c r="U596" s="23"/>
      <c r="V596" s="105"/>
      <c r="X596" s="24"/>
      <c r="Y596" s="18"/>
    </row>
    <row r="597" spans="1:25" ht="12.5" x14ac:dyDescent="0.25">
      <c r="A597" s="15"/>
      <c r="O597" s="32"/>
      <c r="Q597" s="14"/>
      <c r="T597" s="67"/>
      <c r="U597" s="23"/>
      <c r="V597" s="105"/>
      <c r="X597" s="24"/>
      <c r="Y597" s="18"/>
    </row>
    <row r="598" spans="1:25" ht="12.5" x14ac:dyDescent="0.25">
      <c r="A598" s="15"/>
      <c r="O598" s="32"/>
      <c r="Q598" s="14"/>
      <c r="T598" s="67"/>
      <c r="U598" s="23"/>
      <c r="V598" s="105"/>
      <c r="X598" s="24"/>
      <c r="Y598" s="18"/>
    </row>
    <row r="599" spans="1:25" ht="12.5" x14ac:dyDescent="0.25">
      <c r="A599" s="15"/>
      <c r="O599" s="32"/>
      <c r="Q599" s="14"/>
      <c r="T599" s="67"/>
      <c r="U599" s="23"/>
      <c r="V599" s="105"/>
      <c r="X599" s="24"/>
      <c r="Y599" s="18"/>
    </row>
    <row r="600" spans="1:25" ht="12.5" x14ac:dyDescent="0.25">
      <c r="A600" s="15"/>
      <c r="O600" s="32"/>
      <c r="Q600" s="14"/>
      <c r="T600" s="67"/>
      <c r="U600" s="23"/>
      <c r="V600" s="105"/>
      <c r="X600" s="24"/>
      <c r="Y600" s="18"/>
    </row>
    <row r="601" spans="1:25" ht="12.5" x14ac:dyDescent="0.25">
      <c r="A601" s="15"/>
      <c r="O601" s="32"/>
      <c r="Q601" s="14"/>
      <c r="T601" s="67"/>
      <c r="U601" s="23"/>
      <c r="V601" s="105"/>
      <c r="X601" s="24"/>
      <c r="Y601" s="18"/>
    </row>
    <row r="602" spans="1:25" ht="12.5" x14ac:dyDescent="0.25">
      <c r="A602" s="15"/>
      <c r="O602" s="32"/>
      <c r="Q602" s="14"/>
      <c r="T602" s="67"/>
      <c r="U602" s="23"/>
      <c r="V602" s="105"/>
      <c r="X602" s="24"/>
      <c r="Y602" s="18"/>
    </row>
    <row r="603" spans="1:25" ht="12.5" x14ac:dyDescent="0.25">
      <c r="A603" s="15"/>
      <c r="O603" s="32"/>
      <c r="Q603" s="14"/>
      <c r="T603" s="67"/>
      <c r="U603" s="23"/>
      <c r="V603" s="105"/>
      <c r="X603" s="24"/>
      <c r="Y603" s="18"/>
    </row>
    <row r="604" spans="1:25" ht="12.5" x14ac:dyDescent="0.25">
      <c r="A604" s="15"/>
      <c r="O604" s="32"/>
      <c r="Q604" s="14"/>
      <c r="T604" s="67"/>
      <c r="U604" s="23"/>
      <c r="V604" s="105"/>
      <c r="X604" s="24"/>
      <c r="Y604" s="18"/>
    </row>
    <row r="605" spans="1:25" ht="12.5" x14ac:dyDescent="0.25">
      <c r="A605" s="15"/>
      <c r="O605" s="32"/>
      <c r="Q605" s="14"/>
      <c r="T605" s="67"/>
      <c r="U605" s="23"/>
      <c r="V605" s="105"/>
      <c r="X605" s="24"/>
      <c r="Y605" s="18"/>
    </row>
    <row r="606" spans="1:25" ht="12.5" x14ac:dyDescent="0.25">
      <c r="A606" s="15"/>
      <c r="O606" s="32"/>
      <c r="Q606" s="14"/>
      <c r="T606" s="67"/>
      <c r="U606" s="23"/>
      <c r="V606" s="105"/>
      <c r="X606" s="24"/>
      <c r="Y606" s="18"/>
    </row>
    <row r="607" spans="1:25" ht="12.5" x14ac:dyDescent="0.25">
      <c r="A607" s="15"/>
      <c r="O607" s="32"/>
      <c r="Q607" s="14"/>
      <c r="T607" s="67"/>
      <c r="U607" s="23"/>
      <c r="V607" s="105"/>
      <c r="X607" s="24"/>
      <c r="Y607" s="18"/>
    </row>
    <row r="608" spans="1:25" ht="12.5" x14ac:dyDescent="0.25">
      <c r="A608" s="15"/>
      <c r="O608" s="32"/>
      <c r="Q608" s="14"/>
      <c r="T608" s="67"/>
      <c r="U608" s="23"/>
      <c r="V608" s="105"/>
      <c r="X608" s="24"/>
      <c r="Y608" s="18"/>
    </row>
    <row r="609" spans="1:25" ht="12.5" x14ac:dyDescent="0.25">
      <c r="A609" s="15"/>
      <c r="O609" s="32"/>
      <c r="Q609" s="14"/>
      <c r="T609" s="67"/>
      <c r="U609" s="23"/>
      <c r="V609" s="105"/>
      <c r="X609" s="24"/>
      <c r="Y609" s="18"/>
    </row>
    <row r="610" spans="1:25" ht="12.5" x14ac:dyDescent="0.25">
      <c r="A610" s="15"/>
      <c r="O610" s="32"/>
      <c r="Q610" s="14"/>
      <c r="T610" s="67"/>
      <c r="U610" s="23"/>
      <c r="V610" s="105"/>
      <c r="X610" s="24"/>
      <c r="Y610" s="18"/>
    </row>
    <row r="611" spans="1:25" ht="12.5" x14ac:dyDescent="0.25">
      <c r="A611" s="15"/>
      <c r="O611" s="32"/>
      <c r="Q611" s="14"/>
      <c r="T611" s="67"/>
      <c r="U611" s="23"/>
      <c r="V611" s="105"/>
      <c r="X611" s="24"/>
      <c r="Y611" s="18"/>
    </row>
    <row r="612" spans="1:25" ht="12.5" x14ac:dyDescent="0.25">
      <c r="A612" s="15"/>
      <c r="O612" s="32"/>
      <c r="Q612" s="14"/>
      <c r="T612" s="67"/>
      <c r="U612" s="23"/>
      <c r="V612" s="105"/>
      <c r="X612" s="24"/>
      <c r="Y612" s="18"/>
    </row>
    <row r="613" spans="1:25" ht="12.5" x14ac:dyDescent="0.25">
      <c r="A613" s="15"/>
      <c r="O613" s="32"/>
      <c r="Q613" s="14"/>
      <c r="T613" s="67"/>
      <c r="U613" s="23"/>
      <c r="V613" s="105"/>
      <c r="X613" s="24"/>
      <c r="Y613" s="18"/>
    </row>
    <row r="614" spans="1:25" ht="12.5" x14ac:dyDescent="0.25">
      <c r="A614" s="15"/>
      <c r="O614" s="32"/>
      <c r="Q614" s="14"/>
      <c r="T614" s="67"/>
      <c r="U614" s="23"/>
      <c r="V614" s="105"/>
      <c r="X614" s="24"/>
      <c r="Y614" s="18"/>
    </row>
    <row r="615" spans="1:25" ht="12.5" x14ac:dyDescent="0.25">
      <c r="A615" s="15"/>
      <c r="O615" s="32"/>
      <c r="Q615" s="14"/>
      <c r="T615" s="67"/>
      <c r="U615" s="23"/>
      <c r="V615" s="105"/>
      <c r="X615" s="24"/>
      <c r="Y615" s="18"/>
    </row>
    <row r="616" spans="1:25" ht="12.5" x14ac:dyDescent="0.25">
      <c r="A616" s="15"/>
      <c r="O616" s="32"/>
      <c r="Q616" s="14"/>
      <c r="T616" s="67"/>
      <c r="U616" s="23"/>
      <c r="V616" s="105"/>
      <c r="X616" s="24"/>
      <c r="Y616" s="18"/>
    </row>
    <row r="617" spans="1:25" ht="12.5" x14ac:dyDescent="0.25">
      <c r="A617" s="15"/>
      <c r="O617" s="32"/>
      <c r="Q617" s="14"/>
      <c r="T617" s="67"/>
      <c r="U617" s="23"/>
      <c r="V617" s="105"/>
      <c r="X617" s="24"/>
      <c r="Y617" s="18"/>
    </row>
    <row r="618" spans="1:25" ht="12.5" x14ac:dyDescent="0.25">
      <c r="A618" s="15"/>
      <c r="O618" s="32"/>
      <c r="Q618" s="14"/>
      <c r="T618" s="67"/>
      <c r="U618" s="23"/>
      <c r="V618" s="105"/>
      <c r="X618" s="24"/>
      <c r="Y618" s="18"/>
    </row>
    <row r="619" spans="1:25" ht="12.5" x14ac:dyDescent="0.25">
      <c r="A619" s="15"/>
      <c r="O619" s="32"/>
      <c r="Q619" s="14"/>
      <c r="T619" s="67"/>
      <c r="U619" s="23"/>
      <c r="V619" s="105"/>
      <c r="X619" s="24"/>
      <c r="Y619" s="18"/>
    </row>
    <row r="620" spans="1:25" ht="12.5" x14ac:dyDescent="0.25">
      <c r="A620" s="15"/>
      <c r="O620" s="32"/>
      <c r="Q620" s="14"/>
      <c r="T620" s="67"/>
      <c r="U620" s="23"/>
      <c r="V620" s="105"/>
      <c r="X620" s="24"/>
      <c r="Y620" s="18"/>
    </row>
    <row r="621" spans="1:25" ht="12.5" x14ac:dyDescent="0.25">
      <c r="A621" s="15"/>
      <c r="O621" s="32"/>
      <c r="Q621" s="14"/>
      <c r="T621" s="67"/>
      <c r="U621" s="23"/>
      <c r="V621" s="105"/>
      <c r="X621" s="24"/>
      <c r="Y621" s="18"/>
    </row>
    <row r="622" spans="1:25" ht="12.5" x14ac:dyDescent="0.25">
      <c r="A622" s="15"/>
      <c r="O622" s="32"/>
      <c r="Q622" s="14"/>
      <c r="T622" s="67"/>
      <c r="U622" s="23"/>
      <c r="V622" s="105"/>
      <c r="X622" s="24"/>
      <c r="Y622" s="18"/>
    </row>
    <row r="623" spans="1:25" ht="12.5" x14ac:dyDescent="0.25">
      <c r="A623" s="15"/>
      <c r="O623" s="32"/>
      <c r="Q623" s="14"/>
      <c r="T623" s="67"/>
      <c r="U623" s="23"/>
      <c r="V623" s="105"/>
      <c r="X623" s="24"/>
      <c r="Y623" s="18"/>
    </row>
    <row r="624" spans="1:25" ht="12.5" x14ac:dyDescent="0.25">
      <c r="A624" s="15"/>
      <c r="O624" s="32"/>
      <c r="Q624" s="14"/>
      <c r="T624" s="67"/>
      <c r="U624" s="23"/>
      <c r="V624" s="105"/>
      <c r="X624" s="24"/>
      <c r="Y624" s="18"/>
    </row>
    <row r="625" spans="1:25" ht="12.5" x14ac:dyDescent="0.25">
      <c r="A625" s="15"/>
      <c r="O625" s="32"/>
      <c r="Q625" s="14"/>
      <c r="T625" s="67"/>
      <c r="U625" s="23"/>
      <c r="V625" s="105"/>
      <c r="X625" s="24"/>
      <c r="Y625" s="18"/>
    </row>
    <row r="626" spans="1:25" ht="12.5" x14ac:dyDescent="0.25">
      <c r="A626" s="15"/>
      <c r="O626" s="32"/>
      <c r="Q626" s="14"/>
      <c r="T626" s="67"/>
      <c r="U626" s="23"/>
      <c r="V626" s="105"/>
      <c r="X626" s="24"/>
      <c r="Y626" s="18"/>
    </row>
    <row r="627" spans="1:25" ht="12.5" x14ac:dyDescent="0.25">
      <c r="A627" s="15"/>
      <c r="O627" s="32"/>
      <c r="Q627" s="14"/>
      <c r="T627" s="67"/>
      <c r="U627" s="23"/>
      <c r="V627" s="105"/>
      <c r="X627" s="24"/>
      <c r="Y627" s="18"/>
    </row>
    <row r="628" spans="1:25" ht="12.5" x14ac:dyDescent="0.25">
      <c r="A628" s="15"/>
      <c r="O628" s="32"/>
      <c r="Q628" s="14"/>
      <c r="T628" s="67"/>
      <c r="U628" s="23"/>
      <c r="V628" s="105"/>
      <c r="X628" s="24"/>
      <c r="Y628" s="18"/>
    </row>
    <row r="629" spans="1:25" ht="12.5" x14ac:dyDescent="0.25">
      <c r="A629" s="15"/>
      <c r="O629" s="32"/>
      <c r="Q629" s="14"/>
      <c r="T629" s="67"/>
      <c r="U629" s="23"/>
      <c r="V629" s="105"/>
      <c r="X629" s="24"/>
      <c r="Y629" s="18"/>
    </row>
    <row r="630" spans="1:25" ht="12.5" x14ac:dyDescent="0.25">
      <c r="A630" s="15"/>
      <c r="O630" s="32"/>
      <c r="Q630" s="14"/>
      <c r="T630" s="67"/>
      <c r="U630" s="23"/>
      <c r="V630" s="105"/>
      <c r="X630" s="24"/>
      <c r="Y630" s="18"/>
    </row>
    <row r="631" spans="1:25" ht="12.5" x14ac:dyDescent="0.25">
      <c r="A631" s="15"/>
      <c r="O631" s="32"/>
      <c r="Q631" s="14"/>
      <c r="T631" s="67"/>
      <c r="U631" s="23"/>
      <c r="V631" s="105"/>
      <c r="X631" s="24"/>
      <c r="Y631" s="18"/>
    </row>
    <row r="632" spans="1:25" ht="12.5" x14ac:dyDescent="0.25">
      <c r="A632" s="15"/>
      <c r="O632" s="32"/>
      <c r="Q632" s="14"/>
      <c r="T632" s="67"/>
      <c r="U632" s="23"/>
      <c r="V632" s="105"/>
      <c r="X632" s="24"/>
      <c r="Y632" s="18"/>
    </row>
    <row r="633" spans="1:25" ht="12.5" x14ac:dyDescent="0.25">
      <c r="A633" s="15"/>
      <c r="O633" s="32"/>
      <c r="Q633" s="14"/>
      <c r="T633" s="67"/>
      <c r="U633" s="23"/>
      <c r="V633" s="105"/>
      <c r="X633" s="24"/>
      <c r="Y633" s="18"/>
    </row>
    <row r="634" spans="1:25" ht="12.5" x14ac:dyDescent="0.25">
      <c r="A634" s="15"/>
      <c r="O634" s="32"/>
      <c r="Q634" s="14"/>
      <c r="T634" s="67"/>
      <c r="U634" s="23"/>
      <c r="V634" s="105"/>
      <c r="X634" s="24"/>
      <c r="Y634" s="18"/>
    </row>
    <row r="635" spans="1:25" ht="12.5" x14ac:dyDescent="0.25">
      <c r="A635" s="15"/>
      <c r="O635" s="32"/>
      <c r="Q635" s="14"/>
      <c r="T635" s="67"/>
      <c r="U635" s="23"/>
      <c r="V635" s="105"/>
      <c r="X635" s="24"/>
      <c r="Y635" s="18"/>
    </row>
    <row r="636" spans="1:25" ht="12.5" x14ac:dyDescent="0.25">
      <c r="A636" s="15"/>
      <c r="O636" s="32"/>
      <c r="Q636" s="14"/>
      <c r="T636" s="67"/>
      <c r="U636" s="23"/>
      <c r="V636" s="105"/>
      <c r="X636" s="24"/>
      <c r="Y636" s="18"/>
    </row>
    <row r="637" spans="1:25" ht="12.5" x14ac:dyDescent="0.25">
      <c r="A637" s="15"/>
      <c r="O637" s="32"/>
      <c r="Q637" s="14"/>
      <c r="T637" s="67"/>
      <c r="U637" s="23"/>
      <c r="V637" s="105"/>
      <c r="X637" s="24"/>
      <c r="Y637" s="18"/>
    </row>
    <row r="638" spans="1:25" ht="12.5" x14ac:dyDescent="0.25">
      <c r="A638" s="15"/>
      <c r="O638" s="32"/>
      <c r="Q638" s="14"/>
      <c r="T638" s="67"/>
      <c r="U638" s="23"/>
      <c r="V638" s="105"/>
      <c r="X638" s="24"/>
      <c r="Y638" s="18"/>
    </row>
    <row r="639" spans="1:25" ht="12.5" x14ac:dyDescent="0.25">
      <c r="A639" s="15"/>
      <c r="O639" s="32"/>
      <c r="Q639" s="14"/>
      <c r="T639" s="67"/>
      <c r="U639" s="23"/>
      <c r="V639" s="105"/>
      <c r="X639" s="24"/>
      <c r="Y639" s="18"/>
    </row>
    <row r="640" spans="1:25" ht="12.5" x14ac:dyDescent="0.25">
      <c r="A640" s="15"/>
      <c r="O640" s="32"/>
      <c r="Q640" s="14"/>
      <c r="T640" s="67"/>
      <c r="U640" s="23"/>
      <c r="V640" s="105"/>
      <c r="X640" s="24"/>
      <c r="Y640" s="18"/>
    </row>
    <row r="641" spans="1:25" ht="12.5" x14ac:dyDescent="0.25">
      <c r="A641" s="15"/>
      <c r="O641" s="32"/>
      <c r="Q641" s="14"/>
      <c r="T641" s="67"/>
      <c r="U641" s="23"/>
      <c r="V641" s="105"/>
      <c r="X641" s="24"/>
      <c r="Y641" s="18"/>
    </row>
    <row r="642" spans="1:25" ht="12.5" x14ac:dyDescent="0.25">
      <c r="A642" s="15"/>
      <c r="O642" s="32"/>
      <c r="Q642" s="14"/>
      <c r="T642" s="67"/>
      <c r="U642" s="23"/>
      <c r="V642" s="105"/>
      <c r="X642" s="24"/>
      <c r="Y642" s="18"/>
    </row>
    <row r="643" spans="1:25" ht="12.5" x14ac:dyDescent="0.25">
      <c r="A643" s="15"/>
      <c r="O643" s="32"/>
      <c r="Q643" s="14"/>
      <c r="T643" s="67"/>
      <c r="U643" s="23"/>
      <c r="V643" s="105"/>
      <c r="X643" s="24"/>
      <c r="Y643" s="18"/>
    </row>
    <row r="644" spans="1:25" ht="12.5" x14ac:dyDescent="0.25">
      <c r="A644" s="15"/>
      <c r="O644" s="32"/>
      <c r="Q644" s="14"/>
      <c r="T644" s="67"/>
      <c r="U644" s="23"/>
      <c r="V644" s="105"/>
      <c r="X644" s="24"/>
      <c r="Y644" s="18"/>
    </row>
    <row r="645" spans="1:25" ht="12.5" x14ac:dyDescent="0.25">
      <c r="A645" s="15"/>
      <c r="O645" s="32"/>
      <c r="Q645" s="14"/>
      <c r="T645" s="67"/>
      <c r="U645" s="23"/>
      <c r="V645" s="105"/>
      <c r="X645" s="24"/>
      <c r="Y645" s="18"/>
    </row>
    <row r="646" spans="1:25" ht="12.5" x14ac:dyDescent="0.25">
      <c r="A646" s="15"/>
      <c r="O646" s="32"/>
      <c r="Q646" s="14"/>
      <c r="T646" s="67"/>
      <c r="U646" s="23"/>
      <c r="V646" s="105"/>
      <c r="X646" s="24"/>
      <c r="Y646" s="18"/>
    </row>
    <row r="647" spans="1:25" ht="12.5" x14ac:dyDescent="0.25">
      <c r="A647" s="15"/>
      <c r="O647" s="32"/>
      <c r="Q647" s="14"/>
      <c r="T647" s="67"/>
      <c r="U647" s="23"/>
      <c r="V647" s="105"/>
      <c r="X647" s="24"/>
      <c r="Y647" s="18"/>
    </row>
    <row r="648" spans="1:25" ht="12.5" x14ac:dyDescent="0.25">
      <c r="A648" s="15"/>
      <c r="O648" s="32"/>
      <c r="Q648" s="14"/>
      <c r="T648" s="67"/>
      <c r="U648" s="23"/>
      <c r="V648" s="105"/>
      <c r="X648" s="24"/>
      <c r="Y648" s="18"/>
    </row>
    <row r="649" spans="1:25" ht="12.5" x14ac:dyDescent="0.25">
      <c r="A649" s="15"/>
      <c r="O649" s="32"/>
      <c r="Q649" s="14"/>
      <c r="T649" s="67"/>
      <c r="U649" s="23"/>
      <c r="V649" s="105"/>
      <c r="X649" s="24"/>
      <c r="Y649" s="18"/>
    </row>
    <row r="650" spans="1:25" ht="12.5" x14ac:dyDescent="0.25">
      <c r="A650" s="15"/>
      <c r="O650" s="32"/>
      <c r="Q650" s="14"/>
      <c r="T650" s="67"/>
      <c r="U650" s="23"/>
      <c r="V650" s="105"/>
      <c r="X650" s="24"/>
      <c r="Y650" s="18"/>
    </row>
    <row r="651" spans="1:25" ht="12.5" x14ac:dyDescent="0.25">
      <c r="A651" s="15"/>
      <c r="O651" s="32"/>
      <c r="Q651" s="14"/>
      <c r="T651" s="67"/>
      <c r="U651" s="23"/>
      <c r="V651" s="105"/>
      <c r="X651" s="24"/>
      <c r="Y651" s="18"/>
    </row>
    <row r="652" spans="1:25" ht="12.5" x14ac:dyDescent="0.25">
      <c r="A652" s="15"/>
      <c r="O652" s="32"/>
      <c r="Q652" s="14"/>
      <c r="T652" s="67"/>
      <c r="U652" s="23"/>
      <c r="V652" s="105"/>
      <c r="X652" s="24"/>
      <c r="Y652" s="18"/>
    </row>
    <row r="653" spans="1:25" ht="12.5" x14ac:dyDescent="0.25">
      <c r="A653" s="15"/>
      <c r="O653" s="32"/>
      <c r="Q653" s="14"/>
      <c r="T653" s="67"/>
      <c r="U653" s="23"/>
      <c r="V653" s="105"/>
      <c r="X653" s="24"/>
      <c r="Y653" s="18"/>
    </row>
    <row r="654" spans="1:25" ht="12.5" x14ac:dyDescent="0.25">
      <c r="A654" s="15"/>
      <c r="O654" s="32"/>
      <c r="Q654" s="14"/>
      <c r="T654" s="67"/>
      <c r="U654" s="23"/>
      <c r="V654" s="105"/>
      <c r="X654" s="24"/>
      <c r="Y654" s="18"/>
    </row>
    <row r="655" spans="1:25" ht="12.5" x14ac:dyDescent="0.25">
      <c r="A655" s="15"/>
      <c r="O655" s="32"/>
      <c r="Q655" s="14"/>
      <c r="T655" s="67"/>
      <c r="U655" s="23"/>
      <c r="V655" s="105"/>
      <c r="X655" s="24"/>
      <c r="Y655" s="18"/>
    </row>
    <row r="656" spans="1:25" ht="12.5" x14ac:dyDescent="0.25">
      <c r="A656" s="15"/>
      <c r="O656" s="32"/>
      <c r="Q656" s="14"/>
      <c r="T656" s="67"/>
      <c r="U656" s="23"/>
      <c r="V656" s="105"/>
      <c r="X656" s="24"/>
      <c r="Y656" s="18"/>
    </row>
    <row r="657" spans="1:25" ht="12.5" x14ac:dyDescent="0.25">
      <c r="A657" s="15"/>
      <c r="O657" s="32"/>
      <c r="Q657" s="14"/>
      <c r="T657" s="67"/>
      <c r="U657" s="23"/>
      <c r="V657" s="105"/>
      <c r="X657" s="24"/>
      <c r="Y657" s="18"/>
    </row>
    <row r="658" spans="1:25" ht="12.5" x14ac:dyDescent="0.25">
      <c r="A658" s="15"/>
      <c r="O658" s="32"/>
      <c r="Q658" s="14"/>
      <c r="T658" s="67"/>
      <c r="U658" s="23"/>
      <c r="V658" s="105"/>
      <c r="X658" s="24"/>
      <c r="Y658" s="18"/>
    </row>
    <row r="659" spans="1:25" ht="12.5" x14ac:dyDescent="0.25">
      <c r="A659" s="15"/>
      <c r="O659" s="32"/>
      <c r="Q659" s="14"/>
      <c r="T659" s="67"/>
      <c r="U659" s="23"/>
      <c r="V659" s="105"/>
      <c r="X659" s="24"/>
      <c r="Y659" s="18"/>
    </row>
    <row r="660" spans="1:25" ht="12.5" x14ac:dyDescent="0.25">
      <c r="A660" s="15"/>
      <c r="O660" s="32"/>
      <c r="Q660" s="14"/>
      <c r="T660" s="67"/>
      <c r="U660" s="23"/>
      <c r="V660" s="105"/>
      <c r="X660" s="24"/>
      <c r="Y660" s="18"/>
    </row>
    <row r="661" spans="1:25" ht="12.5" x14ac:dyDescent="0.25">
      <c r="A661" s="15"/>
      <c r="O661" s="32"/>
      <c r="Q661" s="14"/>
      <c r="T661" s="67"/>
      <c r="U661" s="23"/>
      <c r="V661" s="105"/>
      <c r="X661" s="24"/>
      <c r="Y661" s="18"/>
    </row>
    <row r="662" spans="1:25" ht="12.5" x14ac:dyDescent="0.25">
      <c r="A662" s="15"/>
      <c r="O662" s="32"/>
      <c r="Q662" s="14"/>
      <c r="T662" s="67"/>
      <c r="U662" s="23"/>
      <c r="V662" s="105"/>
      <c r="X662" s="24"/>
      <c r="Y662" s="18"/>
    </row>
    <row r="663" spans="1:25" ht="12.5" x14ac:dyDescent="0.25">
      <c r="A663" s="15"/>
      <c r="O663" s="32"/>
      <c r="Q663" s="14"/>
      <c r="T663" s="67"/>
      <c r="U663" s="23"/>
      <c r="V663" s="105"/>
      <c r="X663" s="24"/>
      <c r="Y663" s="18"/>
    </row>
    <row r="664" spans="1:25" ht="12.5" x14ac:dyDescent="0.25">
      <c r="A664" s="15"/>
      <c r="O664" s="32"/>
      <c r="Q664" s="14"/>
      <c r="T664" s="67"/>
      <c r="U664" s="23"/>
      <c r="V664" s="105"/>
      <c r="X664" s="24"/>
      <c r="Y664" s="18"/>
    </row>
    <row r="665" spans="1:25" ht="12.5" x14ac:dyDescent="0.25">
      <c r="A665" s="15"/>
      <c r="O665" s="32"/>
      <c r="Q665" s="14"/>
      <c r="T665" s="67"/>
      <c r="U665" s="23"/>
      <c r="V665" s="105"/>
      <c r="X665" s="24"/>
      <c r="Y665" s="18"/>
    </row>
    <row r="666" spans="1:25" ht="12.5" x14ac:dyDescent="0.25">
      <c r="A666" s="15"/>
      <c r="O666" s="32"/>
      <c r="Q666" s="14"/>
      <c r="T666" s="67"/>
      <c r="U666" s="23"/>
      <c r="V666" s="105"/>
      <c r="X666" s="24"/>
      <c r="Y666" s="18"/>
    </row>
    <row r="667" spans="1:25" ht="12.5" x14ac:dyDescent="0.25">
      <c r="A667" s="15"/>
      <c r="O667" s="32"/>
      <c r="Q667" s="14"/>
      <c r="T667" s="67"/>
      <c r="U667" s="23"/>
      <c r="V667" s="105"/>
      <c r="X667" s="24"/>
      <c r="Y667" s="18"/>
    </row>
    <row r="668" spans="1:25" ht="12.5" x14ac:dyDescent="0.25">
      <c r="A668" s="15"/>
      <c r="O668" s="32"/>
      <c r="Q668" s="14"/>
      <c r="T668" s="67"/>
      <c r="U668" s="23"/>
      <c r="V668" s="105"/>
      <c r="X668" s="24"/>
      <c r="Y668" s="18"/>
    </row>
    <row r="669" spans="1:25" ht="12.5" x14ac:dyDescent="0.25">
      <c r="A669" s="15"/>
      <c r="O669" s="32"/>
      <c r="Q669" s="14"/>
      <c r="T669" s="67"/>
      <c r="U669" s="23"/>
      <c r="V669" s="105"/>
      <c r="X669" s="24"/>
      <c r="Y669" s="18"/>
    </row>
    <row r="670" spans="1:25" ht="12.5" x14ac:dyDescent="0.25">
      <c r="A670" s="15"/>
      <c r="O670" s="32"/>
      <c r="Q670" s="14"/>
      <c r="T670" s="67"/>
      <c r="U670" s="23"/>
      <c r="V670" s="105"/>
      <c r="X670" s="24"/>
      <c r="Y670" s="18"/>
    </row>
    <row r="671" spans="1:25" ht="12.5" x14ac:dyDescent="0.25">
      <c r="A671" s="15"/>
      <c r="O671" s="32"/>
      <c r="Q671" s="14"/>
      <c r="T671" s="67"/>
      <c r="U671" s="23"/>
      <c r="V671" s="105"/>
      <c r="X671" s="24"/>
      <c r="Y671" s="18"/>
    </row>
    <row r="672" spans="1:25" ht="12.5" x14ac:dyDescent="0.25">
      <c r="A672" s="15"/>
      <c r="O672" s="32"/>
      <c r="Q672" s="14"/>
      <c r="T672" s="67"/>
      <c r="U672" s="23"/>
      <c r="V672" s="105"/>
      <c r="X672" s="24"/>
      <c r="Y672" s="18"/>
    </row>
    <row r="673" spans="1:25" ht="12.5" x14ac:dyDescent="0.25">
      <c r="A673" s="15"/>
      <c r="O673" s="32"/>
      <c r="Q673" s="14"/>
      <c r="T673" s="67"/>
      <c r="U673" s="23"/>
      <c r="V673" s="105"/>
      <c r="X673" s="24"/>
      <c r="Y673" s="18"/>
    </row>
    <row r="674" spans="1:25" ht="12.5" x14ac:dyDescent="0.25">
      <c r="A674" s="15"/>
      <c r="O674" s="32"/>
      <c r="Q674" s="14"/>
      <c r="T674" s="67"/>
      <c r="U674" s="23"/>
      <c r="V674" s="105"/>
      <c r="X674" s="24"/>
      <c r="Y674" s="18"/>
    </row>
    <row r="675" spans="1:25" ht="12.5" x14ac:dyDescent="0.25">
      <c r="A675" s="15"/>
      <c r="O675" s="32"/>
      <c r="Q675" s="14"/>
      <c r="T675" s="67"/>
      <c r="U675" s="23"/>
      <c r="V675" s="105"/>
      <c r="X675" s="24"/>
      <c r="Y675" s="18"/>
    </row>
    <row r="676" spans="1:25" ht="12.5" x14ac:dyDescent="0.25">
      <c r="A676" s="15"/>
      <c r="O676" s="32"/>
      <c r="Q676" s="14"/>
      <c r="T676" s="67"/>
      <c r="U676" s="23"/>
      <c r="V676" s="105"/>
      <c r="X676" s="24"/>
      <c r="Y676" s="18"/>
    </row>
    <row r="677" spans="1:25" ht="12.5" x14ac:dyDescent="0.25">
      <c r="A677" s="15"/>
      <c r="O677" s="32"/>
      <c r="Q677" s="14"/>
      <c r="T677" s="67"/>
      <c r="U677" s="23"/>
      <c r="V677" s="105"/>
      <c r="X677" s="24"/>
      <c r="Y677" s="18"/>
    </row>
    <row r="678" spans="1:25" ht="12.5" x14ac:dyDescent="0.25">
      <c r="A678" s="15"/>
      <c r="O678" s="32"/>
      <c r="Q678" s="14"/>
      <c r="T678" s="67"/>
      <c r="U678" s="23"/>
      <c r="V678" s="105"/>
      <c r="X678" s="24"/>
      <c r="Y678" s="18"/>
    </row>
    <row r="679" spans="1:25" ht="12.5" x14ac:dyDescent="0.25">
      <c r="A679" s="15"/>
      <c r="O679" s="32"/>
      <c r="Q679" s="14"/>
      <c r="T679" s="67"/>
      <c r="U679" s="23"/>
      <c r="V679" s="105"/>
      <c r="X679" s="24"/>
      <c r="Y679" s="18"/>
    </row>
    <row r="680" spans="1:25" ht="12.5" x14ac:dyDescent="0.25">
      <c r="A680" s="15"/>
      <c r="O680" s="32"/>
      <c r="Q680" s="14"/>
      <c r="T680" s="67"/>
      <c r="U680" s="23"/>
      <c r="V680" s="105"/>
      <c r="X680" s="24"/>
      <c r="Y680" s="18"/>
    </row>
    <row r="681" spans="1:25" ht="12.5" x14ac:dyDescent="0.25">
      <c r="A681" s="15"/>
      <c r="O681" s="32"/>
      <c r="Q681" s="14"/>
      <c r="T681" s="67"/>
      <c r="U681" s="23"/>
      <c r="V681" s="105"/>
      <c r="X681" s="24"/>
      <c r="Y681" s="18"/>
    </row>
    <row r="682" spans="1:25" ht="12.5" x14ac:dyDescent="0.25">
      <c r="A682" s="15"/>
      <c r="O682" s="32"/>
      <c r="Q682" s="14"/>
      <c r="T682" s="67"/>
      <c r="U682" s="23"/>
      <c r="V682" s="105"/>
      <c r="X682" s="24"/>
      <c r="Y682" s="18"/>
    </row>
    <row r="683" spans="1:25" ht="12.5" x14ac:dyDescent="0.25">
      <c r="A683" s="15"/>
      <c r="O683" s="32"/>
      <c r="Q683" s="14"/>
      <c r="T683" s="67"/>
      <c r="U683" s="23"/>
      <c r="V683" s="105"/>
      <c r="X683" s="24"/>
      <c r="Y683" s="18"/>
    </row>
    <row r="684" spans="1:25" ht="12.5" x14ac:dyDescent="0.25">
      <c r="A684" s="15"/>
      <c r="O684" s="32"/>
      <c r="Q684" s="14"/>
      <c r="T684" s="67"/>
      <c r="U684" s="23"/>
      <c r="V684" s="105"/>
      <c r="X684" s="24"/>
      <c r="Y684" s="18"/>
    </row>
    <row r="685" spans="1:25" ht="12.5" x14ac:dyDescent="0.25">
      <c r="A685" s="15"/>
      <c r="O685" s="32"/>
      <c r="Q685" s="14"/>
      <c r="T685" s="67"/>
      <c r="U685" s="23"/>
      <c r="V685" s="105"/>
      <c r="X685" s="24"/>
      <c r="Y685" s="18"/>
    </row>
    <row r="686" spans="1:25" ht="12.5" x14ac:dyDescent="0.25">
      <c r="A686" s="15"/>
      <c r="O686" s="32"/>
      <c r="Q686" s="14"/>
      <c r="T686" s="67"/>
      <c r="U686" s="23"/>
      <c r="V686" s="105"/>
      <c r="X686" s="24"/>
      <c r="Y686" s="18"/>
    </row>
    <row r="687" spans="1:25" ht="12.5" x14ac:dyDescent="0.25">
      <c r="A687" s="15"/>
      <c r="O687" s="32"/>
      <c r="Q687" s="14"/>
      <c r="T687" s="67"/>
      <c r="U687" s="23"/>
      <c r="V687" s="105"/>
      <c r="X687" s="24"/>
      <c r="Y687" s="18"/>
    </row>
    <row r="688" spans="1:25" ht="12.5" x14ac:dyDescent="0.25">
      <c r="A688" s="15"/>
      <c r="O688" s="32"/>
      <c r="Q688" s="14"/>
      <c r="T688" s="67"/>
      <c r="U688" s="23"/>
      <c r="V688" s="105"/>
      <c r="X688" s="24"/>
      <c r="Y688" s="18"/>
    </row>
    <row r="689" spans="1:25" ht="12.5" x14ac:dyDescent="0.25">
      <c r="A689" s="15"/>
      <c r="O689" s="32"/>
      <c r="Q689" s="14"/>
      <c r="T689" s="67"/>
      <c r="U689" s="23"/>
      <c r="V689" s="105"/>
      <c r="X689" s="24"/>
      <c r="Y689" s="18"/>
    </row>
    <row r="690" spans="1:25" ht="12.5" x14ac:dyDescent="0.25">
      <c r="A690" s="15"/>
      <c r="O690" s="32"/>
      <c r="Q690" s="14"/>
      <c r="T690" s="67"/>
      <c r="U690" s="23"/>
      <c r="V690" s="105"/>
      <c r="X690" s="24"/>
      <c r="Y690" s="18"/>
    </row>
    <row r="691" spans="1:25" ht="12.5" x14ac:dyDescent="0.25">
      <c r="A691" s="15"/>
      <c r="O691" s="32"/>
      <c r="Q691" s="14"/>
      <c r="T691" s="67"/>
      <c r="U691" s="23"/>
      <c r="V691" s="105"/>
      <c r="X691" s="24"/>
      <c r="Y691" s="18"/>
    </row>
    <row r="692" spans="1:25" ht="12.5" x14ac:dyDescent="0.25">
      <c r="A692" s="15"/>
      <c r="O692" s="32"/>
      <c r="Q692" s="14"/>
      <c r="T692" s="67"/>
      <c r="U692" s="23"/>
      <c r="V692" s="105"/>
      <c r="X692" s="24"/>
      <c r="Y692" s="18"/>
    </row>
    <row r="693" spans="1:25" ht="12.5" x14ac:dyDescent="0.25">
      <c r="A693" s="15"/>
      <c r="O693" s="32"/>
      <c r="Q693" s="14"/>
      <c r="T693" s="67"/>
      <c r="U693" s="23"/>
      <c r="V693" s="105"/>
      <c r="X693" s="24"/>
      <c r="Y693" s="18"/>
    </row>
    <row r="694" spans="1:25" ht="12.5" x14ac:dyDescent="0.25">
      <c r="A694" s="15"/>
      <c r="O694" s="32"/>
      <c r="Q694" s="14"/>
      <c r="T694" s="67"/>
      <c r="U694" s="23"/>
      <c r="V694" s="105"/>
      <c r="X694" s="24"/>
      <c r="Y694" s="18"/>
    </row>
    <row r="695" spans="1:25" ht="12.5" x14ac:dyDescent="0.25">
      <c r="A695" s="15"/>
      <c r="O695" s="32"/>
      <c r="Q695" s="14"/>
      <c r="T695" s="67"/>
      <c r="U695" s="23"/>
      <c r="V695" s="105"/>
      <c r="X695" s="24"/>
      <c r="Y695" s="18"/>
    </row>
    <row r="696" spans="1:25" ht="12.5" x14ac:dyDescent="0.25">
      <c r="A696" s="15"/>
      <c r="O696" s="32"/>
      <c r="Q696" s="14"/>
      <c r="T696" s="67"/>
      <c r="U696" s="23"/>
      <c r="V696" s="105"/>
      <c r="X696" s="24"/>
      <c r="Y696" s="18"/>
    </row>
    <row r="697" spans="1:25" ht="12.5" x14ac:dyDescent="0.25">
      <c r="A697" s="15"/>
      <c r="O697" s="32"/>
      <c r="Q697" s="14"/>
      <c r="T697" s="67"/>
      <c r="U697" s="23"/>
      <c r="V697" s="105"/>
      <c r="X697" s="24"/>
      <c r="Y697" s="18"/>
    </row>
    <row r="698" spans="1:25" ht="12.5" x14ac:dyDescent="0.25">
      <c r="A698" s="15"/>
      <c r="O698" s="32"/>
      <c r="Q698" s="14"/>
      <c r="T698" s="67"/>
      <c r="U698" s="23"/>
      <c r="V698" s="105"/>
      <c r="X698" s="24"/>
      <c r="Y698" s="18"/>
    </row>
    <row r="699" spans="1:25" ht="12.5" x14ac:dyDescent="0.25">
      <c r="A699" s="15"/>
      <c r="O699" s="32"/>
      <c r="Q699" s="14"/>
      <c r="T699" s="67"/>
      <c r="U699" s="23"/>
      <c r="V699" s="105"/>
      <c r="X699" s="24"/>
      <c r="Y699" s="18"/>
    </row>
    <row r="700" spans="1:25" ht="12.5" x14ac:dyDescent="0.25">
      <c r="A700" s="15"/>
      <c r="O700" s="32"/>
      <c r="Q700" s="14"/>
      <c r="T700" s="67"/>
      <c r="U700" s="23"/>
      <c r="V700" s="105"/>
      <c r="X700" s="24"/>
      <c r="Y700" s="18"/>
    </row>
    <row r="701" spans="1:25" ht="12.5" x14ac:dyDescent="0.25">
      <c r="A701" s="15"/>
      <c r="O701" s="32"/>
      <c r="Q701" s="14"/>
      <c r="T701" s="67"/>
      <c r="U701" s="23"/>
      <c r="V701" s="105"/>
      <c r="X701" s="24"/>
      <c r="Y701" s="18"/>
    </row>
    <row r="702" spans="1:25" ht="12.5" x14ac:dyDescent="0.25">
      <c r="A702" s="15"/>
      <c r="O702" s="32"/>
      <c r="Q702" s="14"/>
      <c r="T702" s="67"/>
      <c r="U702" s="23"/>
      <c r="V702" s="105"/>
      <c r="X702" s="24"/>
      <c r="Y702" s="18"/>
    </row>
    <row r="703" spans="1:25" ht="12.5" x14ac:dyDescent="0.25">
      <c r="A703" s="15"/>
      <c r="O703" s="32"/>
      <c r="Q703" s="14"/>
      <c r="T703" s="67"/>
      <c r="U703" s="23"/>
      <c r="V703" s="105"/>
      <c r="X703" s="24"/>
      <c r="Y703" s="18"/>
    </row>
    <row r="704" spans="1:25" ht="12.5" x14ac:dyDescent="0.25">
      <c r="A704" s="15"/>
      <c r="O704" s="32"/>
      <c r="Q704" s="14"/>
      <c r="T704" s="67"/>
      <c r="U704" s="23"/>
      <c r="V704" s="105"/>
      <c r="X704" s="24"/>
      <c r="Y704" s="18"/>
    </row>
    <row r="705" spans="1:25" ht="12.5" x14ac:dyDescent="0.25">
      <c r="A705" s="15"/>
      <c r="O705" s="32"/>
      <c r="Q705" s="14"/>
      <c r="T705" s="67"/>
      <c r="U705" s="23"/>
      <c r="V705" s="105"/>
      <c r="X705" s="24"/>
      <c r="Y705" s="18"/>
    </row>
    <row r="706" spans="1:25" ht="12.5" x14ac:dyDescent="0.25">
      <c r="A706" s="15"/>
      <c r="O706" s="32"/>
      <c r="Q706" s="14"/>
      <c r="T706" s="67"/>
      <c r="U706" s="23"/>
      <c r="V706" s="105"/>
      <c r="X706" s="24"/>
      <c r="Y706" s="18"/>
    </row>
    <row r="707" spans="1:25" ht="12.5" x14ac:dyDescent="0.25">
      <c r="A707" s="15"/>
      <c r="O707" s="32"/>
      <c r="Q707" s="14"/>
      <c r="T707" s="67"/>
      <c r="U707" s="23"/>
      <c r="V707" s="105"/>
      <c r="X707" s="24"/>
      <c r="Y707" s="18"/>
    </row>
    <row r="708" spans="1:25" ht="12.5" x14ac:dyDescent="0.25">
      <c r="A708" s="15"/>
      <c r="O708" s="32"/>
      <c r="Q708" s="14"/>
      <c r="T708" s="67"/>
      <c r="U708" s="23"/>
      <c r="V708" s="105"/>
      <c r="X708" s="24"/>
      <c r="Y708" s="18"/>
    </row>
    <row r="709" spans="1:25" ht="12.5" x14ac:dyDescent="0.25">
      <c r="A709" s="15"/>
      <c r="O709" s="32"/>
      <c r="Q709" s="14"/>
      <c r="T709" s="67"/>
      <c r="U709" s="23"/>
      <c r="V709" s="105"/>
      <c r="X709" s="24"/>
      <c r="Y709" s="18"/>
    </row>
    <row r="710" spans="1:25" ht="12.5" x14ac:dyDescent="0.25">
      <c r="A710" s="15"/>
      <c r="O710" s="32"/>
      <c r="Q710" s="14"/>
      <c r="T710" s="67"/>
      <c r="U710" s="23"/>
      <c r="V710" s="105"/>
      <c r="X710" s="24"/>
      <c r="Y710" s="18"/>
    </row>
    <row r="711" spans="1:25" ht="12.5" x14ac:dyDescent="0.25">
      <c r="A711" s="15"/>
      <c r="O711" s="32"/>
      <c r="Q711" s="14"/>
      <c r="T711" s="67"/>
      <c r="U711" s="23"/>
      <c r="V711" s="105"/>
      <c r="X711" s="24"/>
      <c r="Y711" s="18"/>
    </row>
    <row r="712" spans="1:25" ht="12.5" x14ac:dyDescent="0.25">
      <c r="A712" s="15"/>
      <c r="O712" s="32"/>
      <c r="Q712" s="14"/>
      <c r="T712" s="67"/>
      <c r="U712" s="23"/>
      <c r="V712" s="105"/>
      <c r="X712" s="24"/>
      <c r="Y712" s="18"/>
    </row>
    <row r="713" spans="1:25" ht="12.5" x14ac:dyDescent="0.25">
      <c r="A713" s="15"/>
      <c r="O713" s="32"/>
      <c r="Q713" s="14"/>
      <c r="T713" s="67"/>
      <c r="U713" s="23"/>
      <c r="V713" s="105"/>
      <c r="X713" s="24"/>
      <c r="Y713" s="18"/>
    </row>
    <row r="714" spans="1:25" ht="12.5" x14ac:dyDescent="0.25">
      <c r="A714" s="15"/>
      <c r="O714" s="32"/>
      <c r="Q714" s="14"/>
      <c r="T714" s="67"/>
      <c r="U714" s="23"/>
      <c r="V714" s="105"/>
      <c r="X714" s="24"/>
      <c r="Y714" s="18"/>
    </row>
    <row r="715" spans="1:25" ht="12.5" x14ac:dyDescent="0.25">
      <c r="A715" s="15"/>
      <c r="O715" s="32"/>
      <c r="Q715" s="14"/>
      <c r="T715" s="67"/>
      <c r="U715" s="23"/>
      <c r="V715" s="105"/>
      <c r="X715" s="24"/>
      <c r="Y715" s="18"/>
    </row>
    <row r="716" spans="1:25" ht="12.5" x14ac:dyDescent="0.25">
      <c r="A716" s="15"/>
      <c r="O716" s="32"/>
      <c r="Q716" s="14"/>
      <c r="T716" s="67"/>
      <c r="U716" s="23"/>
      <c r="V716" s="105"/>
      <c r="X716" s="24"/>
      <c r="Y716" s="18"/>
    </row>
    <row r="717" spans="1:25" ht="12.5" x14ac:dyDescent="0.25">
      <c r="A717" s="15"/>
      <c r="O717" s="32"/>
      <c r="Q717" s="14"/>
      <c r="T717" s="67"/>
      <c r="U717" s="23"/>
      <c r="V717" s="105"/>
      <c r="X717" s="24"/>
      <c r="Y717" s="18"/>
    </row>
    <row r="718" spans="1:25" ht="12.5" x14ac:dyDescent="0.25">
      <c r="A718" s="15"/>
      <c r="O718" s="32"/>
      <c r="Q718" s="14"/>
      <c r="T718" s="67"/>
      <c r="U718" s="23"/>
      <c r="V718" s="105"/>
      <c r="X718" s="24"/>
      <c r="Y718" s="18"/>
    </row>
    <row r="719" spans="1:25" ht="12.5" x14ac:dyDescent="0.25">
      <c r="A719" s="15"/>
      <c r="O719" s="32"/>
      <c r="Q719" s="14"/>
      <c r="T719" s="67"/>
      <c r="U719" s="23"/>
      <c r="V719" s="105"/>
      <c r="X719" s="24"/>
      <c r="Y719" s="18"/>
    </row>
    <row r="720" spans="1:25" ht="12.5" x14ac:dyDescent="0.25">
      <c r="A720" s="15"/>
      <c r="O720" s="32"/>
      <c r="Q720" s="14"/>
      <c r="T720" s="67"/>
      <c r="U720" s="23"/>
      <c r="V720" s="105"/>
      <c r="X720" s="24"/>
      <c r="Y720" s="18"/>
    </row>
    <row r="721" spans="1:25" ht="12.5" x14ac:dyDescent="0.25">
      <c r="A721" s="15"/>
      <c r="O721" s="32"/>
      <c r="Q721" s="14"/>
      <c r="T721" s="67"/>
      <c r="U721" s="23"/>
      <c r="V721" s="105"/>
      <c r="X721" s="24"/>
      <c r="Y721" s="18"/>
    </row>
    <row r="722" spans="1:25" ht="12.5" x14ac:dyDescent="0.25">
      <c r="A722" s="15"/>
      <c r="O722" s="32"/>
      <c r="Q722" s="14"/>
      <c r="T722" s="67"/>
      <c r="U722" s="23"/>
      <c r="V722" s="105"/>
      <c r="X722" s="24"/>
      <c r="Y722" s="18"/>
    </row>
    <row r="723" spans="1:25" ht="12.5" x14ac:dyDescent="0.25">
      <c r="A723" s="15"/>
      <c r="O723" s="32"/>
      <c r="Q723" s="14"/>
      <c r="T723" s="67"/>
      <c r="U723" s="23"/>
      <c r="V723" s="105"/>
      <c r="X723" s="24"/>
      <c r="Y723" s="18"/>
    </row>
    <row r="724" spans="1:25" ht="12.5" x14ac:dyDescent="0.25">
      <c r="A724" s="15"/>
      <c r="O724" s="32"/>
      <c r="Q724" s="14"/>
      <c r="T724" s="67"/>
      <c r="U724" s="23"/>
      <c r="V724" s="105"/>
      <c r="X724" s="24"/>
      <c r="Y724" s="18"/>
    </row>
    <row r="725" spans="1:25" ht="12.5" x14ac:dyDescent="0.25">
      <c r="A725" s="15"/>
      <c r="O725" s="32"/>
      <c r="Q725" s="14"/>
      <c r="T725" s="67"/>
      <c r="U725" s="23"/>
      <c r="V725" s="105"/>
      <c r="X725" s="24"/>
      <c r="Y725" s="18"/>
    </row>
    <row r="726" spans="1:25" ht="12.5" x14ac:dyDescent="0.25">
      <c r="A726" s="15"/>
      <c r="O726" s="32"/>
      <c r="Q726" s="14"/>
      <c r="T726" s="67"/>
      <c r="U726" s="23"/>
      <c r="V726" s="105"/>
      <c r="X726" s="24"/>
      <c r="Y726" s="18"/>
    </row>
    <row r="727" spans="1:25" ht="12.5" x14ac:dyDescent="0.25">
      <c r="A727" s="15"/>
      <c r="O727" s="32"/>
      <c r="Q727" s="14"/>
      <c r="T727" s="67"/>
      <c r="U727" s="23"/>
      <c r="V727" s="105"/>
      <c r="X727" s="24"/>
      <c r="Y727" s="18"/>
    </row>
    <row r="728" spans="1:25" ht="12.5" x14ac:dyDescent="0.25">
      <c r="A728" s="15"/>
      <c r="O728" s="32"/>
      <c r="Q728" s="14"/>
      <c r="T728" s="67"/>
      <c r="U728" s="23"/>
      <c r="V728" s="105"/>
      <c r="X728" s="24"/>
      <c r="Y728" s="18"/>
    </row>
    <row r="729" spans="1:25" ht="12.5" x14ac:dyDescent="0.25">
      <c r="A729" s="15"/>
      <c r="O729" s="32"/>
      <c r="Q729" s="14"/>
      <c r="T729" s="67"/>
      <c r="U729" s="23"/>
      <c r="V729" s="105"/>
      <c r="X729" s="24"/>
      <c r="Y729" s="18"/>
    </row>
    <row r="730" spans="1:25" ht="12.5" x14ac:dyDescent="0.25">
      <c r="A730" s="15"/>
      <c r="O730" s="32"/>
      <c r="Q730" s="14"/>
      <c r="T730" s="67"/>
      <c r="U730" s="23"/>
      <c r="V730" s="105"/>
      <c r="X730" s="24"/>
      <c r="Y730" s="18"/>
    </row>
    <row r="731" spans="1:25" ht="12.5" x14ac:dyDescent="0.25">
      <c r="A731" s="15"/>
      <c r="O731" s="32"/>
      <c r="Q731" s="14"/>
      <c r="T731" s="67"/>
      <c r="U731" s="23"/>
      <c r="V731" s="105"/>
      <c r="X731" s="24"/>
      <c r="Y731" s="18"/>
    </row>
    <row r="732" spans="1:25" ht="12.5" x14ac:dyDescent="0.25">
      <c r="A732" s="15"/>
      <c r="O732" s="32"/>
      <c r="Q732" s="14"/>
      <c r="T732" s="67"/>
      <c r="U732" s="23"/>
      <c r="V732" s="105"/>
      <c r="X732" s="24"/>
      <c r="Y732" s="18"/>
    </row>
    <row r="733" spans="1:25" ht="12.5" x14ac:dyDescent="0.25">
      <c r="A733" s="15"/>
      <c r="O733" s="32"/>
      <c r="Q733" s="14"/>
      <c r="T733" s="67"/>
      <c r="U733" s="23"/>
      <c r="V733" s="105"/>
      <c r="X733" s="24"/>
      <c r="Y733" s="18"/>
    </row>
    <row r="734" spans="1:25" ht="12.5" x14ac:dyDescent="0.25">
      <c r="A734" s="15"/>
      <c r="O734" s="32"/>
      <c r="Q734" s="14"/>
      <c r="T734" s="67"/>
      <c r="U734" s="23"/>
      <c r="V734" s="105"/>
      <c r="X734" s="24"/>
      <c r="Y734" s="18"/>
    </row>
    <row r="735" spans="1:25" ht="12.5" x14ac:dyDescent="0.25">
      <c r="A735" s="15"/>
      <c r="O735" s="32"/>
      <c r="Q735" s="14"/>
      <c r="T735" s="67"/>
      <c r="U735" s="23"/>
      <c r="V735" s="105"/>
      <c r="X735" s="24"/>
      <c r="Y735" s="18"/>
    </row>
    <row r="736" spans="1:25" ht="12.5" x14ac:dyDescent="0.25">
      <c r="A736" s="15"/>
      <c r="O736" s="32"/>
      <c r="Q736" s="14"/>
      <c r="T736" s="67"/>
      <c r="U736" s="23"/>
      <c r="V736" s="105"/>
      <c r="X736" s="24"/>
      <c r="Y736" s="18"/>
    </row>
    <row r="737" spans="1:25" ht="12.5" x14ac:dyDescent="0.25">
      <c r="A737" s="15"/>
      <c r="O737" s="32"/>
      <c r="Q737" s="14"/>
      <c r="T737" s="67"/>
      <c r="U737" s="23"/>
      <c r="V737" s="105"/>
      <c r="X737" s="24"/>
      <c r="Y737" s="18"/>
    </row>
    <row r="738" spans="1:25" ht="12.5" x14ac:dyDescent="0.25">
      <c r="A738" s="15"/>
      <c r="O738" s="32"/>
      <c r="Q738" s="14"/>
      <c r="T738" s="67"/>
      <c r="U738" s="23"/>
      <c r="V738" s="105"/>
      <c r="X738" s="24"/>
      <c r="Y738" s="18"/>
    </row>
    <row r="739" spans="1:25" ht="12.5" x14ac:dyDescent="0.25">
      <c r="A739" s="15"/>
      <c r="O739" s="32"/>
      <c r="Q739" s="14"/>
      <c r="T739" s="67"/>
      <c r="U739" s="23"/>
      <c r="V739" s="105"/>
      <c r="X739" s="24"/>
      <c r="Y739" s="18"/>
    </row>
    <row r="740" spans="1:25" ht="12.5" x14ac:dyDescent="0.25">
      <c r="A740" s="15"/>
      <c r="O740" s="32"/>
      <c r="Q740" s="14"/>
      <c r="T740" s="67"/>
      <c r="U740" s="23"/>
      <c r="V740" s="105"/>
      <c r="X740" s="24"/>
      <c r="Y740" s="18"/>
    </row>
    <row r="741" spans="1:25" ht="12.5" x14ac:dyDescent="0.25">
      <c r="A741" s="15"/>
      <c r="O741" s="32"/>
      <c r="Q741" s="14"/>
      <c r="T741" s="67"/>
      <c r="U741" s="23"/>
      <c r="V741" s="105"/>
      <c r="X741" s="24"/>
      <c r="Y741" s="18"/>
    </row>
    <row r="742" spans="1:25" ht="12.5" x14ac:dyDescent="0.25">
      <c r="A742" s="15"/>
      <c r="O742" s="32"/>
      <c r="Q742" s="14"/>
      <c r="T742" s="67"/>
      <c r="U742" s="23"/>
      <c r="V742" s="105"/>
      <c r="X742" s="24"/>
      <c r="Y742" s="18"/>
    </row>
    <row r="743" spans="1:25" ht="12.5" x14ac:dyDescent="0.25">
      <c r="A743" s="15"/>
      <c r="O743" s="32"/>
      <c r="Q743" s="14"/>
      <c r="T743" s="67"/>
      <c r="U743" s="23"/>
      <c r="V743" s="105"/>
      <c r="X743" s="24"/>
      <c r="Y743" s="18"/>
    </row>
    <row r="744" spans="1:25" ht="12.5" x14ac:dyDescent="0.25">
      <c r="A744" s="15"/>
      <c r="O744" s="32"/>
      <c r="Q744" s="14"/>
      <c r="T744" s="67"/>
      <c r="U744" s="23"/>
      <c r="V744" s="105"/>
      <c r="X744" s="24"/>
      <c r="Y744" s="18"/>
    </row>
    <row r="745" spans="1:25" ht="12.5" x14ac:dyDescent="0.25">
      <c r="A745" s="15"/>
      <c r="O745" s="32"/>
      <c r="Q745" s="14"/>
      <c r="T745" s="67"/>
      <c r="U745" s="23"/>
      <c r="V745" s="105"/>
      <c r="X745" s="24"/>
      <c r="Y745" s="18"/>
    </row>
    <row r="746" spans="1:25" ht="12.5" x14ac:dyDescent="0.25">
      <c r="A746" s="15"/>
      <c r="O746" s="32"/>
      <c r="Q746" s="14"/>
      <c r="T746" s="67"/>
      <c r="U746" s="23"/>
      <c r="V746" s="105"/>
      <c r="X746" s="24"/>
      <c r="Y746" s="18"/>
    </row>
    <row r="747" spans="1:25" ht="12.5" x14ac:dyDescent="0.25">
      <c r="A747" s="15"/>
      <c r="O747" s="32"/>
      <c r="Q747" s="14"/>
      <c r="T747" s="67"/>
      <c r="U747" s="23"/>
      <c r="V747" s="105"/>
      <c r="X747" s="24"/>
      <c r="Y747" s="18"/>
    </row>
    <row r="748" spans="1:25" ht="12.5" x14ac:dyDescent="0.25">
      <c r="A748" s="15"/>
      <c r="O748" s="32"/>
      <c r="Q748" s="14"/>
      <c r="T748" s="67"/>
      <c r="U748" s="23"/>
      <c r="V748" s="105"/>
      <c r="X748" s="24"/>
      <c r="Y748" s="18"/>
    </row>
    <row r="749" spans="1:25" ht="12.5" x14ac:dyDescent="0.25">
      <c r="A749" s="15"/>
      <c r="O749" s="32"/>
      <c r="Q749" s="14"/>
      <c r="T749" s="67"/>
      <c r="U749" s="23"/>
      <c r="V749" s="105"/>
      <c r="X749" s="24"/>
      <c r="Y749" s="18"/>
    </row>
    <row r="750" spans="1:25" ht="12.5" x14ac:dyDescent="0.25">
      <c r="A750" s="15"/>
      <c r="O750" s="32"/>
      <c r="Q750" s="14"/>
      <c r="T750" s="67"/>
      <c r="U750" s="23"/>
      <c r="V750" s="105"/>
      <c r="X750" s="24"/>
      <c r="Y750" s="18"/>
    </row>
    <row r="751" spans="1:25" ht="12.5" x14ac:dyDescent="0.25">
      <c r="A751" s="15"/>
      <c r="O751" s="32"/>
      <c r="Q751" s="14"/>
      <c r="T751" s="67"/>
      <c r="U751" s="23"/>
      <c r="V751" s="105"/>
      <c r="X751" s="24"/>
      <c r="Y751" s="18"/>
    </row>
    <row r="752" spans="1:25" ht="12.5" x14ac:dyDescent="0.25">
      <c r="A752" s="15"/>
      <c r="O752" s="32"/>
      <c r="Q752" s="14"/>
      <c r="T752" s="67"/>
      <c r="U752" s="23"/>
      <c r="V752" s="105"/>
      <c r="X752" s="24"/>
      <c r="Y752" s="18"/>
    </row>
    <row r="753" spans="1:25" ht="12.5" x14ac:dyDescent="0.25">
      <c r="A753" s="15"/>
      <c r="O753" s="32"/>
      <c r="Q753" s="14"/>
      <c r="T753" s="67"/>
      <c r="U753" s="23"/>
      <c r="V753" s="105"/>
      <c r="X753" s="24"/>
      <c r="Y753" s="18"/>
    </row>
    <row r="754" spans="1:25" ht="12.5" x14ac:dyDescent="0.25">
      <c r="A754" s="15"/>
      <c r="O754" s="32"/>
      <c r="Q754" s="14"/>
      <c r="T754" s="67"/>
      <c r="U754" s="23"/>
      <c r="V754" s="105"/>
      <c r="X754" s="24"/>
      <c r="Y754" s="18"/>
    </row>
    <row r="755" spans="1:25" ht="12.5" x14ac:dyDescent="0.25">
      <c r="A755" s="15"/>
      <c r="O755" s="32"/>
      <c r="Q755" s="14"/>
      <c r="T755" s="67"/>
      <c r="U755" s="23"/>
      <c r="V755" s="105"/>
      <c r="X755" s="24"/>
      <c r="Y755" s="18"/>
    </row>
    <row r="756" spans="1:25" ht="12.5" x14ac:dyDescent="0.25">
      <c r="A756" s="15"/>
      <c r="O756" s="32"/>
      <c r="Q756" s="14"/>
      <c r="T756" s="67"/>
      <c r="U756" s="23"/>
      <c r="V756" s="105"/>
      <c r="X756" s="24"/>
      <c r="Y756" s="18"/>
    </row>
    <row r="757" spans="1:25" ht="12.5" x14ac:dyDescent="0.25">
      <c r="A757" s="15"/>
      <c r="O757" s="32"/>
      <c r="Q757" s="14"/>
      <c r="T757" s="67"/>
      <c r="U757" s="23"/>
      <c r="V757" s="105"/>
      <c r="X757" s="24"/>
      <c r="Y757" s="18"/>
    </row>
    <row r="758" spans="1:25" ht="12.5" x14ac:dyDescent="0.25">
      <c r="A758" s="15"/>
      <c r="O758" s="32"/>
      <c r="Q758" s="14"/>
      <c r="T758" s="67"/>
      <c r="U758" s="23"/>
      <c r="V758" s="105"/>
      <c r="X758" s="24"/>
      <c r="Y758" s="18"/>
    </row>
    <row r="759" spans="1:25" ht="12.5" x14ac:dyDescent="0.25">
      <c r="A759" s="15"/>
      <c r="O759" s="32"/>
      <c r="Q759" s="14"/>
      <c r="T759" s="67"/>
      <c r="U759" s="23"/>
      <c r="V759" s="105"/>
      <c r="X759" s="24"/>
      <c r="Y759" s="18"/>
    </row>
    <row r="760" spans="1:25" ht="12.5" x14ac:dyDescent="0.25">
      <c r="A760" s="15"/>
      <c r="O760" s="32"/>
      <c r="Q760" s="14"/>
      <c r="T760" s="67"/>
      <c r="U760" s="23"/>
      <c r="V760" s="105"/>
      <c r="X760" s="24"/>
      <c r="Y760" s="18"/>
    </row>
    <row r="761" spans="1:25" ht="12.5" x14ac:dyDescent="0.25">
      <c r="A761" s="15"/>
      <c r="O761" s="32"/>
      <c r="Q761" s="14"/>
      <c r="T761" s="67"/>
      <c r="U761" s="23"/>
      <c r="V761" s="105"/>
      <c r="X761" s="24"/>
      <c r="Y761" s="18"/>
    </row>
    <row r="762" spans="1:25" ht="12.5" x14ac:dyDescent="0.25">
      <c r="A762" s="15"/>
      <c r="O762" s="32"/>
      <c r="Q762" s="14"/>
      <c r="T762" s="67"/>
      <c r="U762" s="23"/>
      <c r="V762" s="105"/>
      <c r="X762" s="24"/>
      <c r="Y762" s="18"/>
    </row>
    <row r="763" spans="1:25" ht="12.5" x14ac:dyDescent="0.25">
      <c r="A763" s="15"/>
      <c r="O763" s="32"/>
      <c r="Q763" s="14"/>
      <c r="T763" s="67"/>
      <c r="U763" s="23"/>
      <c r="V763" s="105"/>
      <c r="X763" s="24"/>
      <c r="Y763" s="18"/>
    </row>
    <row r="764" spans="1:25" ht="12.5" x14ac:dyDescent="0.25">
      <c r="A764" s="15"/>
      <c r="O764" s="32"/>
      <c r="Q764" s="14"/>
      <c r="T764" s="67"/>
      <c r="U764" s="23"/>
      <c r="V764" s="105"/>
      <c r="X764" s="24"/>
      <c r="Y764" s="18"/>
    </row>
    <row r="765" spans="1:25" ht="12.5" x14ac:dyDescent="0.25">
      <c r="A765" s="15"/>
      <c r="O765" s="32"/>
      <c r="Q765" s="14"/>
      <c r="T765" s="67"/>
      <c r="U765" s="23"/>
      <c r="V765" s="105"/>
      <c r="X765" s="24"/>
      <c r="Y765" s="18"/>
    </row>
    <row r="766" spans="1:25" ht="12.5" x14ac:dyDescent="0.25">
      <c r="A766" s="15"/>
      <c r="O766" s="32"/>
      <c r="Q766" s="14"/>
      <c r="T766" s="67"/>
      <c r="U766" s="23"/>
      <c r="V766" s="105"/>
      <c r="X766" s="24"/>
      <c r="Y766" s="18"/>
    </row>
    <row r="767" spans="1:25" ht="12.5" x14ac:dyDescent="0.25">
      <c r="A767" s="15"/>
      <c r="O767" s="32"/>
      <c r="Q767" s="14"/>
      <c r="T767" s="67"/>
      <c r="U767" s="23"/>
      <c r="V767" s="105"/>
      <c r="X767" s="24"/>
      <c r="Y767" s="18"/>
    </row>
    <row r="768" spans="1:25" ht="12.5" x14ac:dyDescent="0.25">
      <c r="A768" s="15"/>
      <c r="O768" s="32"/>
      <c r="Q768" s="14"/>
      <c r="T768" s="67"/>
      <c r="U768" s="23"/>
      <c r="V768" s="105"/>
      <c r="X768" s="24"/>
      <c r="Y768" s="18"/>
    </row>
    <row r="769" spans="1:25" ht="12.5" x14ac:dyDescent="0.25">
      <c r="A769" s="15"/>
      <c r="O769" s="32"/>
      <c r="Q769" s="14"/>
      <c r="T769" s="67"/>
      <c r="U769" s="23"/>
      <c r="V769" s="105"/>
      <c r="X769" s="24"/>
      <c r="Y769" s="18"/>
    </row>
    <row r="770" spans="1:25" ht="12.5" x14ac:dyDescent="0.25">
      <c r="A770" s="15"/>
      <c r="O770" s="32"/>
      <c r="Q770" s="14"/>
      <c r="T770" s="67"/>
      <c r="U770" s="23"/>
      <c r="V770" s="105"/>
      <c r="X770" s="24"/>
      <c r="Y770" s="18"/>
    </row>
    <row r="771" spans="1:25" ht="12.5" x14ac:dyDescent="0.25">
      <c r="A771" s="15"/>
      <c r="O771" s="32"/>
      <c r="Q771" s="14"/>
      <c r="T771" s="67"/>
      <c r="U771" s="23"/>
      <c r="V771" s="105"/>
      <c r="X771" s="24"/>
      <c r="Y771" s="18"/>
    </row>
    <row r="772" spans="1:25" ht="12.5" x14ac:dyDescent="0.25">
      <c r="A772" s="15"/>
      <c r="O772" s="32"/>
      <c r="Q772" s="14"/>
      <c r="T772" s="67"/>
      <c r="U772" s="23"/>
      <c r="V772" s="105"/>
      <c r="X772" s="24"/>
      <c r="Y772" s="18"/>
    </row>
    <row r="773" spans="1:25" ht="12.5" x14ac:dyDescent="0.25">
      <c r="A773" s="15"/>
      <c r="O773" s="32"/>
      <c r="Q773" s="14"/>
      <c r="T773" s="67"/>
      <c r="U773" s="23"/>
      <c r="V773" s="105"/>
      <c r="X773" s="24"/>
      <c r="Y773" s="18"/>
    </row>
    <row r="774" spans="1:25" ht="12.5" x14ac:dyDescent="0.25">
      <c r="A774" s="15"/>
      <c r="O774" s="32"/>
      <c r="Q774" s="14"/>
      <c r="T774" s="67"/>
      <c r="U774" s="23"/>
      <c r="V774" s="105"/>
      <c r="X774" s="24"/>
      <c r="Y774" s="18"/>
    </row>
    <row r="775" spans="1:25" ht="12.5" x14ac:dyDescent="0.25">
      <c r="A775" s="15"/>
      <c r="O775" s="32"/>
      <c r="Q775" s="14"/>
      <c r="T775" s="67"/>
      <c r="U775" s="23"/>
      <c r="V775" s="105"/>
      <c r="X775" s="24"/>
      <c r="Y775" s="18"/>
    </row>
    <row r="776" spans="1:25" ht="12.5" x14ac:dyDescent="0.25">
      <c r="A776" s="15"/>
      <c r="O776" s="32"/>
      <c r="Q776" s="14"/>
      <c r="T776" s="67"/>
      <c r="U776" s="23"/>
      <c r="V776" s="105"/>
      <c r="X776" s="24"/>
      <c r="Y776" s="18"/>
    </row>
    <row r="777" spans="1:25" ht="12.5" x14ac:dyDescent="0.25">
      <c r="A777" s="15"/>
      <c r="O777" s="32"/>
      <c r="Q777" s="14"/>
      <c r="T777" s="67"/>
      <c r="U777" s="23"/>
      <c r="V777" s="105"/>
      <c r="X777" s="24"/>
      <c r="Y777" s="18"/>
    </row>
    <row r="778" spans="1:25" ht="12.5" x14ac:dyDescent="0.25">
      <c r="A778" s="15"/>
      <c r="O778" s="32"/>
      <c r="Q778" s="14"/>
      <c r="T778" s="67"/>
      <c r="U778" s="23"/>
      <c r="V778" s="105"/>
      <c r="X778" s="24"/>
      <c r="Y778" s="18"/>
    </row>
    <row r="779" spans="1:25" ht="12.5" x14ac:dyDescent="0.25">
      <c r="A779" s="15"/>
      <c r="O779" s="32"/>
      <c r="Q779" s="14"/>
      <c r="T779" s="67"/>
      <c r="U779" s="23"/>
      <c r="V779" s="105"/>
      <c r="X779" s="24"/>
      <c r="Y779" s="18"/>
    </row>
    <row r="780" spans="1:25" ht="12.5" x14ac:dyDescent="0.25">
      <c r="A780" s="15"/>
      <c r="O780" s="32"/>
      <c r="Q780" s="14"/>
      <c r="T780" s="67"/>
      <c r="U780" s="23"/>
      <c r="V780" s="105"/>
      <c r="X780" s="24"/>
      <c r="Y780" s="18"/>
    </row>
    <row r="781" spans="1:25" ht="12.5" x14ac:dyDescent="0.25">
      <c r="A781" s="15"/>
      <c r="O781" s="32"/>
      <c r="Q781" s="14"/>
      <c r="T781" s="67"/>
      <c r="U781" s="23"/>
      <c r="V781" s="105"/>
      <c r="X781" s="24"/>
      <c r="Y781" s="18"/>
    </row>
    <row r="782" spans="1:25" ht="12.5" x14ac:dyDescent="0.25">
      <c r="A782" s="15"/>
      <c r="O782" s="32"/>
      <c r="Q782" s="14"/>
      <c r="T782" s="67"/>
      <c r="U782" s="23"/>
      <c r="V782" s="105"/>
      <c r="X782" s="24"/>
      <c r="Y782" s="18"/>
    </row>
    <row r="783" spans="1:25" ht="12.5" x14ac:dyDescent="0.25">
      <c r="A783" s="15"/>
      <c r="O783" s="32"/>
      <c r="Q783" s="14"/>
      <c r="T783" s="67"/>
      <c r="U783" s="23"/>
      <c r="V783" s="105"/>
      <c r="X783" s="24"/>
      <c r="Y783" s="18"/>
    </row>
    <row r="784" spans="1:25" ht="12.5" x14ac:dyDescent="0.25">
      <c r="A784" s="15"/>
      <c r="O784" s="32"/>
      <c r="Q784" s="14"/>
      <c r="T784" s="67"/>
      <c r="U784" s="23"/>
      <c r="V784" s="105"/>
      <c r="X784" s="24"/>
      <c r="Y784" s="18"/>
    </row>
    <row r="785" spans="1:25" ht="12.5" x14ac:dyDescent="0.25">
      <c r="A785" s="15"/>
      <c r="O785" s="32"/>
      <c r="Q785" s="14"/>
      <c r="T785" s="67"/>
      <c r="U785" s="23"/>
      <c r="V785" s="105"/>
      <c r="X785" s="24"/>
      <c r="Y785" s="18"/>
    </row>
    <row r="786" spans="1:25" ht="12.5" x14ac:dyDescent="0.25">
      <c r="A786" s="15"/>
      <c r="O786" s="32"/>
      <c r="Q786" s="14"/>
      <c r="T786" s="67"/>
      <c r="U786" s="23"/>
      <c r="V786" s="105"/>
      <c r="X786" s="24"/>
      <c r="Y786" s="18"/>
    </row>
    <row r="787" spans="1:25" ht="12.5" x14ac:dyDescent="0.25">
      <c r="A787" s="15"/>
      <c r="O787" s="32"/>
      <c r="Q787" s="14"/>
      <c r="T787" s="67"/>
      <c r="U787" s="23"/>
      <c r="V787" s="105"/>
      <c r="X787" s="24"/>
      <c r="Y787" s="18"/>
    </row>
    <row r="788" spans="1:25" ht="12.5" x14ac:dyDescent="0.25">
      <c r="A788" s="15"/>
      <c r="O788" s="32"/>
      <c r="Q788" s="14"/>
      <c r="T788" s="67"/>
      <c r="U788" s="23"/>
      <c r="V788" s="105"/>
      <c r="X788" s="24"/>
      <c r="Y788" s="18"/>
    </row>
    <row r="789" spans="1:25" ht="12.5" x14ac:dyDescent="0.25">
      <c r="A789" s="15"/>
      <c r="O789" s="32"/>
      <c r="Q789" s="14"/>
      <c r="T789" s="67"/>
      <c r="U789" s="23"/>
      <c r="V789" s="105"/>
      <c r="X789" s="24"/>
      <c r="Y789" s="18"/>
    </row>
    <row r="790" spans="1:25" ht="12.5" x14ac:dyDescent="0.25">
      <c r="A790" s="15"/>
      <c r="O790" s="32"/>
      <c r="Q790" s="14"/>
      <c r="T790" s="67"/>
      <c r="U790" s="23"/>
      <c r="V790" s="105"/>
      <c r="X790" s="24"/>
      <c r="Y790" s="18"/>
    </row>
    <row r="791" spans="1:25" ht="12.5" x14ac:dyDescent="0.25">
      <c r="A791" s="15"/>
      <c r="O791" s="32"/>
      <c r="Q791" s="14"/>
      <c r="T791" s="67"/>
      <c r="U791" s="23"/>
      <c r="V791" s="105"/>
      <c r="X791" s="24"/>
      <c r="Y791" s="18"/>
    </row>
    <row r="792" spans="1:25" ht="12.5" x14ac:dyDescent="0.25">
      <c r="A792" s="15"/>
      <c r="O792" s="32"/>
      <c r="Q792" s="14"/>
      <c r="T792" s="67"/>
      <c r="U792" s="23"/>
      <c r="V792" s="105"/>
      <c r="X792" s="24"/>
      <c r="Y792" s="18"/>
    </row>
    <row r="793" spans="1:25" ht="12.5" x14ac:dyDescent="0.25">
      <c r="A793" s="15"/>
      <c r="O793" s="32"/>
      <c r="Q793" s="14"/>
      <c r="T793" s="67"/>
      <c r="U793" s="23"/>
      <c r="V793" s="105"/>
      <c r="X793" s="24"/>
      <c r="Y793" s="18"/>
    </row>
    <row r="794" spans="1:25" ht="12.5" x14ac:dyDescent="0.25">
      <c r="A794" s="15"/>
      <c r="O794" s="32"/>
      <c r="Q794" s="14"/>
      <c r="T794" s="67"/>
      <c r="U794" s="23"/>
      <c r="V794" s="105"/>
      <c r="X794" s="24"/>
      <c r="Y794" s="18"/>
    </row>
    <row r="795" spans="1:25" ht="12.5" x14ac:dyDescent="0.25">
      <c r="A795" s="15"/>
      <c r="O795" s="32"/>
      <c r="Q795" s="14"/>
      <c r="T795" s="67"/>
      <c r="U795" s="23"/>
      <c r="V795" s="105"/>
      <c r="X795" s="24"/>
      <c r="Y795" s="18"/>
    </row>
    <row r="796" spans="1:25" ht="12.5" x14ac:dyDescent="0.25">
      <c r="A796" s="15"/>
      <c r="O796" s="32"/>
      <c r="Q796" s="14"/>
      <c r="T796" s="67"/>
      <c r="U796" s="23"/>
      <c r="V796" s="105"/>
      <c r="X796" s="24"/>
      <c r="Y796" s="18"/>
    </row>
    <row r="797" spans="1:25" ht="12.5" x14ac:dyDescent="0.25">
      <c r="A797" s="15"/>
      <c r="O797" s="32"/>
      <c r="Q797" s="14"/>
      <c r="T797" s="67"/>
      <c r="U797" s="23"/>
      <c r="V797" s="105"/>
      <c r="X797" s="24"/>
      <c r="Y797" s="18"/>
    </row>
    <row r="798" spans="1:25" ht="12.5" x14ac:dyDescent="0.25">
      <c r="A798" s="15"/>
      <c r="O798" s="32"/>
      <c r="Q798" s="14"/>
      <c r="T798" s="67"/>
      <c r="U798" s="23"/>
      <c r="V798" s="105"/>
      <c r="X798" s="24"/>
      <c r="Y798" s="18"/>
    </row>
    <row r="799" spans="1:25" ht="12.5" x14ac:dyDescent="0.25">
      <c r="A799" s="15"/>
      <c r="O799" s="32"/>
      <c r="Q799" s="14"/>
      <c r="T799" s="67"/>
      <c r="U799" s="23"/>
      <c r="V799" s="105"/>
      <c r="X799" s="24"/>
      <c r="Y799" s="18"/>
    </row>
    <row r="800" spans="1:25" ht="12.5" x14ac:dyDescent="0.25">
      <c r="A800" s="15"/>
      <c r="O800" s="32"/>
      <c r="Q800" s="14"/>
      <c r="T800" s="67"/>
      <c r="U800" s="23"/>
      <c r="V800" s="105"/>
      <c r="X800" s="24"/>
      <c r="Y800" s="18"/>
    </row>
    <row r="801" spans="1:25" ht="12.5" x14ac:dyDescent="0.25">
      <c r="A801" s="15"/>
      <c r="O801" s="32"/>
      <c r="Q801" s="14"/>
      <c r="T801" s="67"/>
      <c r="U801" s="23"/>
      <c r="V801" s="105"/>
      <c r="X801" s="24"/>
      <c r="Y801" s="18"/>
    </row>
    <row r="802" spans="1:25" ht="12.5" x14ac:dyDescent="0.25">
      <c r="A802" s="15"/>
      <c r="O802" s="32"/>
      <c r="Q802" s="14"/>
      <c r="T802" s="67"/>
      <c r="U802" s="23"/>
      <c r="V802" s="105"/>
      <c r="X802" s="24"/>
      <c r="Y802" s="18"/>
    </row>
    <row r="803" spans="1:25" ht="12.5" x14ac:dyDescent="0.25">
      <c r="A803" s="15"/>
      <c r="O803" s="32"/>
      <c r="Q803" s="14"/>
      <c r="T803" s="67"/>
      <c r="U803" s="23"/>
      <c r="V803" s="105"/>
      <c r="X803" s="24"/>
      <c r="Y803" s="18"/>
    </row>
    <row r="804" spans="1:25" ht="12.5" x14ac:dyDescent="0.25">
      <c r="A804" s="15"/>
      <c r="O804" s="32"/>
      <c r="Q804" s="14"/>
      <c r="T804" s="67"/>
      <c r="U804" s="23"/>
      <c r="V804" s="105"/>
      <c r="X804" s="24"/>
      <c r="Y804" s="18"/>
    </row>
    <row r="805" spans="1:25" ht="12.5" x14ac:dyDescent="0.25">
      <c r="A805" s="15"/>
      <c r="O805" s="32"/>
      <c r="Q805" s="14"/>
      <c r="T805" s="67"/>
      <c r="U805" s="23"/>
      <c r="V805" s="105"/>
      <c r="X805" s="24"/>
      <c r="Y805" s="18"/>
    </row>
    <row r="806" spans="1:25" ht="12.5" x14ac:dyDescent="0.25">
      <c r="A806" s="15"/>
      <c r="O806" s="32"/>
      <c r="Q806" s="14"/>
      <c r="T806" s="67"/>
      <c r="U806" s="23"/>
      <c r="V806" s="105"/>
      <c r="X806" s="24"/>
      <c r="Y806" s="18"/>
    </row>
    <row r="807" spans="1:25" ht="12.5" x14ac:dyDescent="0.25">
      <c r="A807" s="15"/>
      <c r="O807" s="32"/>
      <c r="Q807" s="14"/>
      <c r="T807" s="67"/>
      <c r="U807" s="23"/>
      <c r="V807" s="105"/>
      <c r="X807" s="24"/>
      <c r="Y807" s="18"/>
    </row>
    <row r="808" spans="1:25" ht="12.5" x14ac:dyDescent="0.25">
      <c r="A808" s="15"/>
      <c r="O808" s="32"/>
      <c r="Q808" s="14"/>
      <c r="T808" s="67"/>
      <c r="U808" s="23"/>
      <c r="V808" s="105"/>
      <c r="X808" s="24"/>
      <c r="Y808" s="18"/>
    </row>
    <row r="809" spans="1:25" ht="12.5" x14ac:dyDescent="0.25">
      <c r="A809" s="15"/>
      <c r="O809" s="32"/>
      <c r="Q809" s="14"/>
      <c r="T809" s="67"/>
      <c r="U809" s="23"/>
      <c r="V809" s="105"/>
      <c r="X809" s="24"/>
      <c r="Y809" s="18"/>
    </row>
    <row r="810" spans="1:25" ht="12.5" x14ac:dyDescent="0.25">
      <c r="A810" s="15"/>
      <c r="O810" s="32"/>
      <c r="Q810" s="14"/>
      <c r="T810" s="67"/>
      <c r="U810" s="23"/>
      <c r="V810" s="105"/>
      <c r="X810" s="24"/>
      <c r="Y810" s="18"/>
    </row>
    <row r="811" spans="1:25" ht="12.5" x14ac:dyDescent="0.25">
      <c r="A811" s="15"/>
      <c r="O811" s="32"/>
      <c r="Q811" s="14"/>
      <c r="T811" s="67"/>
      <c r="U811" s="23"/>
      <c r="V811" s="105"/>
      <c r="X811" s="24"/>
      <c r="Y811" s="18"/>
    </row>
    <row r="812" spans="1:25" ht="12.5" x14ac:dyDescent="0.25">
      <c r="A812" s="15"/>
      <c r="O812" s="32"/>
      <c r="Q812" s="14"/>
      <c r="T812" s="67"/>
      <c r="U812" s="23"/>
      <c r="V812" s="105"/>
      <c r="X812" s="24"/>
      <c r="Y812" s="18"/>
    </row>
    <row r="813" spans="1:25" ht="12.5" x14ac:dyDescent="0.25">
      <c r="A813" s="15"/>
      <c r="O813" s="32"/>
      <c r="Q813" s="14"/>
      <c r="T813" s="67"/>
      <c r="U813" s="23"/>
      <c r="V813" s="105"/>
      <c r="X813" s="24"/>
      <c r="Y813" s="18"/>
    </row>
    <row r="814" spans="1:25" ht="12.5" x14ac:dyDescent="0.25">
      <c r="A814" s="15"/>
      <c r="O814" s="32"/>
      <c r="Q814" s="14"/>
      <c r="T814" s="67"/>
      <c r="U814" s="23"/>
      <c r="V814" s="105"/>
      <c r="X814" s="24"/>
      <c r="Y814" s="18"/>
    </row>
    <row r="815" spans="1:25" ht="12.5" x14ac:dyDescent="0.25">
      <c r="A815" s="15"/>
      <c r="O815" s="32"/>
      <c r="Q815" s="14"/>
      <c r="T815" s="67"/>
      <c r="U815" s="23"/>
      <c r="V815" s="105"/>
      <c r="X815" s="24"/>
      <c r="Y815" s="18"/>
    </row>
    <row r="816" spans="1:25" ht="12.5" x14ac:dyDescent="0.25">
      <c r="A816" s="15"/>
      <c r="O816" s="32"/>
      <c r="Q816" s="14"/>
      <c r="T816" s="67"/>
      <c r="U816" s="23"/>
      <c r="V816" s="105"/>
      <c r="X816" s="24"/>
      <c r="Y816" s="18"/>
    </row>
    <row r="817" spans="1:25" ht="12.5" x14ac:dyDescent="0.25">
      <c r="A817" s="15"/>
      <c r="O817" s="32"/>
      <c r="Q817" s="14"/>
      <c r="T817" s="67"/>
      <c r="U817" s="23"/>
      <c r="V817" s="105"/>
      <c r="X817" s="24"/>
      <c r="Y817" s="18"/>
    </row>
    <row r="818" spans="1:25" ht="12.5" x14ac:dyDescent="0.25">
      <c r="A818" s="15"/>
      <c r="O818" s="32"/>
      <c r="Q818" s="14"/>
      <c r="T818" s="67"/>
      <c r="U818" s="23"/>
      <c r="V818" s="105"/>
      <c r="X818" s="24"/>
      <c r="Y818" s="18"/>
    </row>
    <row r="819" spans="1:25" ht="12.5" x14ac:dyDescent="0.25">
      <c r="A819" s="15"/>
      <c r="O819" s="32"/>
      <c r="Q819" s="14"/>
      <c r="T819" s="67"/>
      <c r="U819" s="23"/>
      <c r="V819" s="105"/>
      <c r="X819" s="24"/>
      <c r="Y819" s="18"/>
    </row>
    <row r="820" spans="1:25" ht="12.5" x14ac:dyDescent="0.25">
      <c r="A820" s="15"/>
      <c r="O820" s="32"/>
      <c r="Q820" s="14"/>
      <c r="T820" s="67"/>
      <c r="U820" s="23"/>
      <c r="V820" s="105"/>
      <c r="X820" s="24"/>
      <c r="Y820" s="18"/>
    </row>
    <row r="821" spans="1:25" ht="12.5" x14ac:dyDescent="0.25">
      <c r="A821" s="15"/>
      <c r="O821" s="32"/>
      <c r="Q821" s="14"/>
      <c r="T821" s="67"/>
      <c r="U821" s="23"/>
      <c r="V821" s="105"/>
      <c r="X821" s="24"/>
      <c r="Y821" s="18"/>
    </row>
    <row r="822" spans="1:25" ht="12.5" x14ac:dyDescent="0.25">
      <c r="A822" s="15"/>
      <c r="O822" s="32"/>
      <c r="Q822" s="14"/>
      <c r="T822" s="67"/>
      <c r="U822" s="23"/>
      <c r="V822" s="105"/>
      <c r="X822" s="24"/>
      <c r="Y822" s="18"/>
    </row>
    <row r="823" spans="1:25" ht="12.5" x14ac:dyDescent="0.25">
      <c r="A823" s="15"/>
      <c r="O823" s="32"/>
      <c r="Q823" s="14"/>
      <c r="T823" s="67"/>
      <c r="U823" s="23"/>
      <c r="V823" s="105"/>
      <c r="X823" s="24"/>
      <c r="Y823" s="18"/>
    </row>
    <row r="824" spans="1:25" ht="12.5" x14ac:dyDescent="0.25">
      <c r="A824" s="15"/>
      <c r="O824" s="32"/>
      <c r="Q824" s="14"/>
      <c r="T824" s="67"/>
      <c r="U824" s="23"/>
      <c r="V824" s="105"/>
      <c r="X824" s="24"/>
      <c r="Y824" s="18"/>
    </row>
    <row r="825" spans="1:25" ht="12.5" x14ac:dyDescent="0.25">
      <c r="A825" s="15"/>
      <c r="O825" s="32"/>
      <c r="Q825" s="14"/>
      <c r="T825" s="67"/>
      <c r="U825" s="23"/>
      <c r="V825" s="105"/>
      <c r="X825" s="24"/>
      <c r="Y825" s="18"/>
    </row>
    <row r="826" spans="1:25" ht="12.5" x14ac:dyDescent="0.25">
      <c r="A826" s="15"/>
      <c r="O826" s="32"/>
      <c r="Q826" s="14"/>
      <c r="T826" s="67"/>
      <c r="U826" s="23"/>
      <c r="V826" s="105"/>
      <c r="X826" s="24"/>
      <c r="Y826" s="18"/>
    </row>
    <row r="827" spans="1:25" ht="12.5" x14ac:dyDescent="0.25">
      <c r="A827" s="15"/>
      <c r="O827" s="32"/>
      <c r="Q827" s="14"/>
      <c r="T827" s="67"/>
      <c r="U827" s="23"/>
      <c r="V827" s="105"/>
      <c r="X827" s="24"/>
      <c r="Y827" s="18"/>
    </row>
    <row r="828" spans="1:25" ht="12.5" x14ac:dyDescent="0.25">
      <c r="A828" s="15"/>
      <c r="O828" s="32"/>
      <c r="Q828" s="14"/>
      <c r="T828" s="67"/>
      <c r="U828" s="23"/>
      <c r="V828" s="105"/>
      <c r="X828" s="24"/>
      <c r="Y828" s="18"/>
    </row>
    <row r="829" spans="1:25" ht="12.5" x14ac:dyDescent="0.25">
      <c r="A829" s="15"/>
      <c r="O829" s="32"/>
      <c r="Q829" s="14"/>
      <c r="T829" s="67"/>
      <c r="U829" s="23"/>
      <c r="V829" s="105"/>
      <c r="X829" s="24"/>
      <c r="Y829" s="18"/>
    </row>
    <row r="830" spans="1:25" ht="12.5" x14ac:dyDescent="0.25">
      <c r="A830" s="15"/>
      <c r="O830" s="32"/>
      <c r="Q830" s="14"/>
      <c r="T830" s="67"/>
      <c r="U830" s="23"/>
      <c r="V830" s="105"/>
      <c r="X830" s="24"/>
      <c r="Y830" s="18"/>
    </row>
    <row r="831" spans="1:25" ht="12.5" x14ac:dyDescent="0.25">
      <c r="A831" s="15"/>
      <c r="O831" s="32"/>
      <c r="Q831" s="14"/>
      <c r="T831" s="67"/>
      <c r="U831" s="23"/>
      <c r="V831" s="105"/>
      <c r="X831" s="24"/>
      <c r="Y831" s="18"/>
    </row>
    <row r="832" spans="1:25" ht="12.5" x14ac:dyDescent="0.25">
      <c r="A832" s="15"/>
      <c r="O832" s="32"/>
      <c r="Q832" s="14"/>
      <c r="T832" s="67"/>
      <c r="U832" s="23"/>
      <c r="V832" s="105"/>
      <c r="X832" s="24"/>
      <c r="Y832" s="18"/>
    </row>
    <row r="833" spans="1:25" ht="12.5" x14ac:dyDescent="0.25">
      <c r="A833" s="15"/>
      <c r="O833" s="32"/>
      <c r="Q833" s="14"/>
      <c r="T833" s="67"/>
      <c r="U833" s="23"/>
      <c r="V833" s="105"/>
      <c r="X833" s="24"/>
      <c r="Y833" s="18"/>
    </row>
    <row r="834" spans="1:25" ht="12.5" x14ac:dyDescent="0.25">
      <c r="A834" s="15"/>
      <c r="O834" s="32"/>
      <c r="Q834" s="14"/>
      <c r="T834" s="67"/>
      <c r="U834" s="23"/>
      <c r="V834" s="105"/>
      <c r="X834" s="24"/>
      <c r="Y834" s="18"/>
    </row>
    <row r="835" spans="1:25" ht="12.5" x14ac:dyDescent="0.25">
      <c r="A835" s="15"/>
      <c r="O835" s="32"/>
      <c r="Q835" s="14"/>
      <c r="T835" s="67"/>
      <c r="U835" s="23"/>
      <c r="V835" s="105"/>
      <c r="X835" s="24"/>
      <c r="Y835" s="18"/>
    </row>
    <row r="836" spans="1:25" ht="12.5" x14ac:dyDescent="0.25">
      <c r="A836" s="15"/>
      <c r="O836" s="32"/>
      <c r="Q836" s="14"/>
      <c r="T836" s="67"/>
      <c r="U836" s="23"/>
      <c r="V836" s="105"/>
      <c r="X836" s="24"/>
      <c r="Y836" s="18"/>
    </row>
    <row r="837" spans="1:25" ht="12.5" x14ac:dyDescent="0.25">
      <c r="A837" s="15"/>
      <c r="O837" s="32"/>
      <c r="Q837" s="14"/>
      <c r="T837" s="67"/>
      <c r="U837" s="23"/>
      <c r="V837" s="105"/>
      <c r="X837" s="24"/>
      <c r="Y837" s="18"/>
    </row>
    <row r="838" spans="1:25" ht="12.5" x14ac:dyDescent="0.25">
      <c r="A838" s="15"/>
      <c r="O838" s="32"/>
      <c r="Q838" s="14"/>
      <c r="T838" s="67"/>
      <c r="U838" s="23"/>
      <c r="V838" s="105"/>
      <c r="X838" s="24"/>
      <c r="Y838" s="18"/>
    </row>
    <row r="839" spans="1:25" ht="12.5" x14ac:dyDescent="0.25">
      <c r="A839" s="15"/>
      <c r="O839" s="32"/>
      <c r="Q839" s="14"/>
      <c r="T839" s="67"/>
      <c r="U839" s="23"/>
      <c r="V839" s="105"/>
      <c r="X839" s="24"/>
      <c r="Y839" s="18"/>
    </row>
    <row r="840" spans="1:25" ht="12.5" x14ac:dyDescent="0.25">
      <c r="A840" s="15"/>
      <c r="O840" s="32"/>
      <c r="Q840" s="14"/>
      <c r="T840" s="67"/>
      <c r="U840" s="23"/>
      <c r="V840" s="105"/>
      <c r="X840" s="24"/>
      <c r="Y840" s="18"/>
    </row>
    <row r="841" spans="1:25" ht="12.5" x14ac:dyDescent="0.25">
      <c r="A841" s="15"/>
      <c r="O841" s="32"/>
      <c r="Q841" s="14"/>
      <c r="T841" s="67"/>
      <c r="U841" s="23"/>
      <c r="V841" s="105"/>
      <c r="X841" s="24"/>
      <c r="Y841" s="18"/>
    </row>
    <row r="842" spans="1:25" ht="12.5" x14ac:dyDescent="0.25">
      <c r="A842" s="15"/>
      <c r="O842" s="32"/>
      <c r="Q842" s="14"/>
      <c r="T842" s="67"/>
      <c r="U842" s="23"/>
      <c r="V842" s="105"/>
      <c r="X842" s="24"/>
      <c r="Y842" s="18"/>
    </row>
    <row r="843" spans="1:25" ht="12.5" x14ac:dyDescent="0.25">
      <c r="A843" s="15"/>
      <c r="O843" s="32"/>
      <c r="Q843" s="14"/>
      <c r="T843" s="67"/>
      <c r="U843" s="23"/>
      <c r="V843" s="105"/>
      <c r="X843" s="24"/>
      <c r="Y843" s="18"/>
    </row>
    <row r="844" spans="1:25" ht="12.5" x14ac:dyDescent="0.25">
      <c r="A844" s="15"/>
      <c r="O844" s="32"/>
      <c r="Q844" s="14"/>
      <c r="T844" s="67"/>
      <c r="U844" s="23"/>
      <c r="V844" s="105"/>
      <c r="X844" s="24"/>
      <c r="Y844" s="18"/>
    </row>
    <row r="845" spans="1:25" ht="12.5" x14ac:dyDescent="0.25">
      <c r="A845" s="15"/>
      <c r="O845" s="32"/>
      <c r="Q845" s="14"/>
      <c r="T845" s="67"/>
      <c r="U845" s="23"/>
      <c r="V845" s="105"/>
      <c r="X845" s="24"/>
      <c r="Y845" s="18"/>
    </row>
    <row r="846" spans="1:25" ht="12.5" x14ac:dyDescent="0.25">
      <c r="A846" s="15"/>
      <c r="O846" s="32"/>
      <c r="Q846" s="14"/>
      <c r="T846" s="67"/>
      <c r="U846" s="23"/>
      <c r="V846" s="105"/>
      <c r="X846" s="24"/>
      <c r="Y846" s="18"/>
    </row>
    <row r="847" spans="1:25" ht="12.5" x14ac:dyDescent="0.25">
      <c r="A847" s="15"/>
      <c r="O847" s="32"/>
      <c r="Q847" s="14"/>
      <c r="T847" s="67"/>
      <c r="U847" s="23"/>
      <c r="V847" s="105"/>
      <c r="X847" s="24"/>
      <c r="Y847" s="18"/>
    </row>
    <row r="848" spans="1:25" ht="12.5" x14ac:dyDescent="0.25">
      <c r="A848" s="15"/>
      <c r="O848" s="32"/>
      <c r="Q848" s="14"/>
      <c r="T848" s="67"/>
      <c r="U848" s="23"/>
      <c r="V848" s="105"/>
      <c r="X848" s="24"/>
      <c r="Y848" s="18"/>
    </row>
    <row r="849" spans="1:25" ht="12.5" x14ac:dyDescent="0.25">
      <c r="A849" s="15"/>
      <c r="O849" s="32"/>
      <c r="Q849" s="14"/>
      <c r="T849" s="67"/>
      <c r="U849" s="23"/>
      <c r="V849" s="105"/>
      <c r="X849" s="24"/>
      <c r="Y849" s="18"/>
    </row>
    <row r="850" spans="1:25" ht="12.5" x14ac:dyDescent="0.25">
      <c r="A850" s="15"/>
      <c r="O850" s="32"/>
      <c r="Q850" s="14"/>
      <c r="T850" s="67"/>
      <c r="U850" s="23"/>
      <c r="V850" s="105"/>
      <c r="X850" s="24"/>
      <c r="Y850" s="18"/>
    </row>
    <row r="851" spans="1:25" ht="12.5" x14ac:dyDescent="0.25">
      <c r="A851" s="15"/>
      <c r="O851" s="32"/>
      <c r="Q851" s="14"/>
      <c r="T851" s="67"/>
      <c r="U851" s="23"/>
      <c r="V851" s="105"/>
      <c r="X851" s="24"/>
      <c r="Y851" s="18"/>
    </row>
    <row r="852" spans="1:25" ht="12.5" x14ac:dyDescent="0.25">
      <c r="A852" s="15"/>
      <c r="O852" s="32"/>
      <c r="Q852" s="14"/>
      <c r="T852" s="67"/>
      <c r="U852" s="23"/>
      <c r="V852" s="105"/>
      <c r="X852" s="24"/>
      <c r="Y852" s="18"/>
    </row>
    <row r="853" spans="1:25" ht="12.5" x14ac:dyDescent="0.25">
      <c r="A853" s="15"/>
      <c r="O853" s="32"/>
      <c r="Q853" s="14"/>
      <c r="T853" s="67"/>
      <c r="U853" s="23"/>
      <c r="V853" s="105"/>
      <c r="X853" s="24"/>
      <c r="Y853" s="18"/>
    </row>
    <row r="854" spans="1:25" ht="12.5" x14ac:dyDescent="0.25">
      <c r="A854" s="15"/>
      <c r="O854" s="32"/>
      <c r="Q854" s="14"/>
      <c r="T854" s="67"/>
      <c r="U854" s="23"/>
      <c r="V854" s="105"/>
      <c r="X854" s="24"/>
      <c r="Y854" s="18"/>
    </row>
    <row r="855" spans="1:25" ht="12.5" x14ac:dyDescent="0.25">
      <c r="A855" s="15"/>
      <c r="O855" s="32"/>
      <c r="Q855" s="14"/>
      <c r="T855" s="67"/>
      <c r="U855" s="23"/>
      <c r="V855" s="105"/>
      <c r="X855" s="24"/>
      <c r="Y855" s="18"/>
    </row>
    <row r="856" spans="1:25" ht="12.5" x14ac:dyDescent="0.25">
      <c r="A856" s="15"/>
      <c r="O856" s="32"/>
      <c r="Q856" s="14"/>
      <c r="T856" s="67"/>
      <c r="U856" s="23"/>
      <c r="V856" s="105"/>
      <c r="X856" s="24"/>
      <c r="Y856" s="18"/>
    </row>
    <row r="857" spans="1:25" ht="12.5" x14ac:dyDescent="0.25">
      <c r="A857" s="15"/>
      <c r="O857" s="32"/>
      <c r="Q857" s="14"/>
      <c r="T857" s="67"/>
      <c r="U857" s="23"/>
      <c r="V857" s="105"/>
      <c r="X857" s="24"/>
      <c r="Y857" s="18"/>
    </row>
    <row r="858" spans="1:25" ht="12.5" x14ac:dyDescent="0.25">
      <c r="A858" s="15"/>
      <c r="O858" s="32"/>
      <c r="Q858" s="14"/>
      <c r="T858" s="67"/>
      <c r="U858" s="23"/>
      <c r="V858" s="105"/>
      <c r="X858" s="24"/>
      <c r="Y858" s="18"/>
    </row>
    <row r="859" spans="1:25" ht="12.5" x14ac:dyDescent="0.25">
      <c r="A859" s="15"/>
      <c r="O859" s="32"/>
      <c r="Q859" s="14"/>
      <c r="T859" s="67"/>
      <c r="U859" s="23"/>
      <c r="V859" s="105"/>
      <c r="X859" s="24"/>
      <c r="Y859" s="18"/>
    </row>
    <row r="860" spans="1:25" ht="12.5" x14ac:dyDescent="0.25">
      <c r="A860" s="15"/>
      <c r="O860" s="32"/>
      <c r="Q860" s="14"/>
      <c r="T860" s="67"/>
      <c r="U860" s="23"/>
      <c r="V860" s="105"/>
      <c r="X860" s="24"/>
      <c r="Y860" s="18"/>
    </row>
    <row r="861" spans="1:25" ht="12.5" x14ac:dyDescent="0.25">
      <c r="A861" s="15"/>
      <c r="O861" s="32"/>
      <c r="Q861" s="14"/>
      <c r="T861" s="67"/>
      <c r="U861" s="23"/>
      <c r="V861" s="105"/>
      <c r="X861" s="24"/>
      <c r="Y861" s="18"/>
    </row>
    <row r="862" spans="1:25" ht="12.5" x14ac:dyDescent="0.25">
      <c r="A862" s="15"/>
      <c r="O862" s="32"/>
      <c r="Q862" s="14"/>
      <c r="T862" s="67"/>
      <c r="U862" s="23"/>
      <c r="V862" s="105"/>
      <c r="X862" s="24"/>
      <c r="Y862" s="18"/>
    </row>
    <row r="863" spans="1:25" ht="12.5" x14ac:dyDescent="0.25">
      <c r="A863" s="15"/>
      <c r="O863" s="32"/>
      <c r="Q863" s="14"/>
      <c r="T863" s="67"/>
      <c r="U863" s="23"/>
      <c r="V863" s="105"/>
      <c r="X863" s="24"/>
      <c r="Y863" s="18"/>
    </row>
    <row r="864" spans="1:25" ht="12.5" x14ac:dyDescent="0.25">
      <c r="A864" s="15"/>
      <c r="O864" s="32"/>
      <c r="Q864" s="14"/>
      <c r="T864" s="67"/>
      <c r="U864" s="23"/>
      <c r="V864" s="105"/>
      <c r="X864" s="24"/>
      <c r="Y864" s="18"/>
    </row>
    <row r="865" spans="1:25" ht="12.5" x14ac:dyDescent="0.25">
      <c r="A865" s="15"/>
      <c r="O865" s="32"/>
      <c r="Q865" s="14"/>
      <c r="T865" s="67"/>
      <c r="U865" s="23"/>
      <c r="V865" s="105"/>
      <c r="X865" s="24"/>
      <c r="Y865" s="18"/>
    </row>
    <row r="866" spans="1:25" ht="12.5" x14ac:dyDescent="0.25">
      <c r="A866" s="15"/>
      <c r="O866" s="32"/>
      <c r="Q866" s="14"/>
      <c r="T866" s="67"/>
      <c r="U866" s="23"/>
      <c r="V866" s="105"/>
      <c r="X866" s="24"/>
      <c r="Y866" s="18"/>
    </row>
    <row r="867" spans="1:25" ht="12.5" x14ac:dyDescent="0.25">
      <c r="A867" s="15"/>
      <c r="O867" s="32"/>
      <c r="Q867" s="14"/>
      <c r="T867" s="67"/>
      <c r="U867" s="23"/>
      <c r="V867" s="105"/>
      <c r="X867" s="24"/>
      <c r="Y867" s="18"/>
    </row>
    <row r="868" spans="1:25" ht="12.5" x14ac:dyDescent="0.25">
      <c r="A868" s="15"/>
      <c r="O868" s="32"/>
      <c r="Q868" s="14"/>
      <c r="T868" s="67"/>
      <c r="U868" s="23"/>
      <c r="V868" s="105"/>
      <c r="X868" s="24"/>
      <c r="Y868" s="18"/>
    </row>
    <row r="869" spans="1:25" ht="12.5" x14ac:dyDescent="0.25">
      <c r="A869" s="15"/>
      <c r="O869" s="32"/>
      <c r="Q869" s="14"/>
      <c r="T869" s="67"/>
      <c r="U869" s="23"/>
      <c r="V869" s="105"/>
      <c r="X869" s="24"/>
      <c r="Y869" s="18"/>
    </row>
    <row r="870" spans="1:25" ht="12.5" x14ac:dyDescent="0.25">
      <c r="A870" s="15"/>
      <c r="O870" s="32"/>
      <c r="Q870" s="14"/>
      <c r="T870" s="67"/>
      <c r="U870" s="23"/>
      <c r="V870" s="105"/>
      <c r="X870" s="24"/>
      <c r="Y870" s="18"/>
    </row>
    <row r="871" spans="1:25" ht="12.5" x14ac:dyDescent="0.25">
      <c r="A871" s="15"/>
      <c r="O871" s="32"/>
      <c r="Q871" s="14"/>
      <c r="T871" s="67"/>
      <c r="U871" s="23"/>
      <c r="V871" s="105"/>
      <c r="X871" s="24"/>
      <c r="Y871" s="18"/>
    </row>
    <row r="872" spans="1:25" ht="12.5" x14ac:dyDescent="0.25">
      <c r="A872" s="15"/>
      <c r="O872" s="32"/>
      <c r="Q872" s="14"/>
      <c r="T872" s="67"/>
      <c r="U872" s="23"/>
      <c r="V872" s="105"/>
      <c r="X872" s="24"/>
      <c r="Y872" s="18"/>
    </row>
    <row r="873" spans="1:25" ht="12.5" x14ac:dyDescent="0.25">
      <c r="A873" s="15"/>
      <c r="O873" s="32"/>
      <c r="Q873" s="14"/>
      <c r="T873" s="67"/>
      <c r="U873" s="23"/>
      <c r="V873" s="105"/>
      <c r="X873" s="24"/>
      <c r="Y873" s="18"/>
    </row>
    <row r="874" spans="1:25" ht="12.5" x14ac:dyDescent="0.25">
      <c r="A874" s="15"/>
      <c r="O874" s="32"/>
      <c r="Q874" s="14"/>
      <c r="T874" s="67"/>
      <c r="U874" s="23"/>
      <c r="V874" s="105"/>
      <c r="X874" s="24"/>
      <c r="Y874" s="18"/>
    </row>
    <row r="875" spans="1:25" ht="12.5" x14ac:dyDescent="0.25">
      <c r="A875" s="15"/>
      <c r="O875" s="32"/>
      <c r="Q875" s="14"/>
      <c r="T875" s="67"/>
      <c r="U875" s="23"/>
      <c r="V875" s="105"/>
      <c r="X875" s="24"/>
      <c r="Y875" s="18"/>
    </row>
    <row r="876" spans="1:25" ht="12.5" x14ac:dyDescent="0.25">
      <c r="A876" s="15"/>
      <c r="O876" s="32"/>
      <c r="Q876" s="14"/>
      <c r="T876" s="67"/>
      <c r="U876" s="23"/>
      <c r="V876" s="105"/>
      <c r="X876" s="24"/>
      <c r="Y876" s="18"/>
    </row>
    <row r="877" spans="1:25" ht="12.5" x14ac:dyDescent="0.25">
      <c r="A877" s="15"/>
      <c r="O877" s="32"/>
      <c r="Q877" s="14"/>
      <c r="T877" s="67"/>
      <c r="U877" s="23"/>
      <c r="V877" s="105"/>
      <c r="X877" s="24"/>
      <c r="Y877" s="18"/>
    </row>
    <row r="878" spans="1:25" ht="12.5" x14ac:dyDescent="0.25">
      <c r="A878" s="15"/>
      <c r="O878" s="32"/>
      <c r="Q878" s="14"/>
      <c r="T878" s="67"/>
      <c r="U878" s="23"/>
      <c r="V878" s="105"/>
      <c r="X878" s="24"/>
      <c r="Y878" s="18"/>
    </row>
    <row r="879" spans="1:25" ht="12.5" x14ac:dyDescent="0.25">
      <c r="A879" s="15"/>
      <c r="O879" s="32"/>
      <c r="Q879" s="14"/>
      <c r="T879" s="67"/>
      <c r="U879" s="23"/>
      <c r="V879" s="105"/>
      <c r="X879" s="24"/>
      <c r="Y879" s="18"/>
    </row>
    <row r="880" spans="1:25" ht="12.5" x14ac:dyDescent="0.25">
      <c r="A880" s="15"/>
      <c r="O880" s="32"/>
      <c r="Q880" s="14"/>
      <c r="T880" s="67"/>
      <c r="U880" s="23"/>
      <c r="V880" s="105"/>
      <c r="X880" s="24"/>
      <c r="Y880" s="18"/>
    </row>
    <row r="881" spans="1:25" ht="12.5" x14ac:dyDescent="0.25">
      <c r="A881" s="15"/>
      <c r="O881" s="32"/>
      <c r="Q881" s="14"/>
      <c r="T881" s="67"/>
      <c r="U881" s="23"/>
      <c r="V881" s="105"/>
      <c r="X881" s="24"/>
      <c r="Y881" s="18"/>
    </row>
    <row r="882" spans="1:25" ht="12.5" x14ac:dyDescent="0.25">
      <c r="A882" s="15"/>
      <c r="O882" s="32"/>
      <c r="Q882" s="14"/>
      <c r="T882" s="67"/>
      <c r="U882" s="23"/>
      <c r="V882" s="105"/>
      <c r="X882" s="24"/>
      <c r="Y882" s="18"/>
    </row>
    <row r="883" spans="1:25" ht="12.5" x14ac:dyDescent="0.25">
      <c r="A883" s="15"/>
      <c r="O883" s="32"/>
      <c r="Q883" s="14"/>
      <c r="T883" s="67"/>
      <c r="U883" s="23"/>
      <c r="V883" s="105"/>
      <c r="X883" s="24"/>
      <c r="Y883" s="18"/>
    </row>
    <row r="884" spans="1:25" ht="12.5" x14ac:dyDescent="0.25">
      <c r="A884" s="15"/>
      <c r="O884" s="32"/>
      <c r="Q884" s="14"/>
      <c r="T884" s="67"/>
      <c r="U884" s="23"/>
      <c r="V884" s="105"/>
      <c r="X884" s="24"/>
      <c r="Y884" s="18"/>
    </row>
    <row r="885" spans="1:25" ht="12.5" x14ac:dyDescent="0.25">
      <c r="A885" s="15"/>
      <c r="O885" s="32"/>
      <c r="Q885" s="14"/>
      <c r="T885" s="67"/>
      <c r="U885" s="23"/>
      <c r="V885" s="105"/>
      <c r="X885" s="24"/>
      <c r="Y885" s="18"/>
    </row>
    <row r="886" spans="1:25" ht="12.5" x14ac:dyDescent="0.25">
      <c r="A886" s="15"/>
      <c r="O886" s="32"/>
      <c r="Q886" s="14"/>
      <c r="T886" s="67"/>
      <c r="U886" s="23"/>
      <c r="V886" s="105"/>
      <c r="X886" s="24"/>
      <c r="Y886" s="18"/>
    </row>
    <row r="887" spans="1:25" ht="12.5" x14ac:dyDescent="0.25">
      <c r="A887" s="15"/>
      <c r="O887" s="32"/>
      <c r="Q887" s="14"/>
      <c r="T887" s="67"/>
      <c r="U887" s="23"/>
      <c r="V887" s="105"/>
      <c r="X887" s="24"/>
      <c r="Y887" s="18"/>
    </row>
    <row r="888" spans="1:25" ht="12.5" x14ac:dyDescent="0.25">
      <c r="A888" s="15"/>
      <c r="O888" s="32"/>
      <c r="Q888" s="14"/>
      <c r="T888" s="67"/>
      <c r="U888" s="23"/>
      <c r="V888" s="105"/>
      <c r="X888" s="24"/>
      <c r="Y888" s="18"/>
    </row>
    <row r="889" spans="1:25" ht="12.5" x14ac:dyDescent="0.25">
      <c r="A889" s="15"/>
      <c r="O889" s="32"/>
      <c r="Q889" s="14"/>
      <c r="T889" s="67"/>
      <c r="U889" s="23"/>
      <c r="V889" s="105"/>
      <c r="X889" s="24"/>
      <c r="Y889" s="18"/>
    </row>
    <row r="890" spans="1:25" ht="12.5" x14ac:dyDescent="0.25">
      <c r="A890" s="15"/>
      <c r="O890" s="32"/>
      <c r="Q890" s="14"/>
      <c r="T890" s="67"/>
      <c r="U890" s="23"/>
      <c r="V890" s="105"/>
      <c r="X890" s="24"/>
      <c r="Y890" s="18"/>
    </row>
    <row r="891" spans="1:25" ht="12.5" x14ac:dyDescent="0.25">
      <c r="A891" s="15"/>
      <c r="O891" s="32"/>
      <c r="Q891" s="14"/>
      <c r="T891" s="67"/>
      <c r="U891" s="23"/>
      <c r="V891" s="105"/>
      <c r="X891" s="24"/>
      <c r="Y891" s="18"/>
    </row>
    <row r="892" spans="1:25" ht="12.5" x14ac:dyDescent="0.25">
      <c r="A892" s="15"/>
      <c r="O892" s="32"/>
      <c r="Q892" s="14"/>
      <c r="T892" s="67"/>
      <c r="U892" s="23"/>
      <c r="V892" s="105"/>
      <c r="X892" s="24"/>
      <c r="Y892" s="18"/>
    </row>
    <row r="893" spans="1:25" ht="12.5" x14ac:dyDescent="0.25">
      <c r="A893" s="15"/>
      <c r="O893" s="32"/>
      <c r="Q893" s="14"/>
      <c r="T893" s="67"/>
      <c r="U893" s="23"/>
      <c r="V893" s="105"/>
      <c r="X893" s="24"/>
      <c r="Y893" s="18"/>
    </row>
    <row r="894" spans="1:25" ht="12.5" x14ac:dyDescent="0.25">
      <c r="A894" s="15"/>
      <c r="O894" s="32"/>
      <c r="Q894" s="14"/>
      <c r="T894" s="67"/>
      <c r="U894" s="23"/>
      <c r="V894" s="105"/>
      <c r="X894" s="24"/>
      <c r="Y894" s="18"/>
    </row>
    <row r="895" spans="1:25" ht="12.5" x14ac:dyDescent="0.25">
      <c r="A895" s="15"/>
      <c r="O895" s="32"/>
      <c r="Q895" s="14"/>
      <c r="T895" s="67"/>
      <c r="U895" s="23"/>
      <c r="V895" s="105"/>
      <c r="X895" s="24"/>
      <c r="Y895" s="18"/>
    </row>
    <row r="896" spans="1:25" ht="12.5" x14ac:dyDescent="0.25">
      <c r="A896" s="15"/>
      <c r="O896" s="32"/>
      <c r="Q896" s="14"/>
      <c r="T896" s="67"/>
      <c r="U896" s="23"/>
      <c r="V896" s="105"/>
      <c r="X896" s="24"/>
      <c r="Y896" s="18"/>
    </row>
    <row r="897" spans="1:25" ht="12.5" x14ac:dyDescent="0.25">
      <c r="A897" s="15"/>
      <c r="O897" s="32"/>
      <c r="Q897" s="14"/>
      <c r="T897" s="67"/>
      <c r="U897" s="23"/>
      <c r="V897" s="105"/>
      <c r="X897" s="24"/>
      <c r="Y897" s="18"/>
    </row>
    <row r="898" spans="1:25" ht="12.5" x14ac:dyDescent="0.25">
      <c r="A898" s="15"/>
      <c r="O898" s="32"/>
      <c r="Q898" s="14"/>
      <c r="T898" s="67"/>
      <c r="U898" s="23"/>
      <c r="V898" s="105"/>
      <c r="X898" s="24"/>
      <c r="Y898" s="18"/>
    </row>
    <row r="899" spans="1:25" ht="12.5" x14ac:dyDescent="0.25">
      <c r="A899" s="15"/>
      <c r="O899" s="32"/>
      <c r="Q899" s="14"/>
      <c r="T899" s="67"/>
      <c r="U899" s="23"/>
      <c r="V899" s="105"/>
      <c r="X899" s="24"/>
      <c r="Y899" s="18"/>
    </row>
    <row r="900" spans="1:25" ht="12.5" x14ac:dyDescent="0.25">
      <c r="A900" s="15"/>
      <c r="O900" s="32"/>
      <c r="Q900" s="14"/>
      <c r="T900" s="67"/>
      <c r="U900" s="23"/>
      <c r="V900" s="105"/>
      <c r="X900" s="24"/>
      <c r="Y900" s="18"/>
    </row>
    <row r="901" spans="1:25" ht="12.5" x14ac:dyDescent="0.25">
      <c r="A901" s="15"/>
      <c r="O901" s="32"/>
      <c r="Q901" s="14"/>
      <c r="T901" s="67"/>
      <c r="U901" s="23"/>
      <c r="V901" s="105"/>
      <c r="X901" s="24"/>
      <c r="Y901" s="18"/>
    </row>
    <row r="902" spans="1:25" ht="12.5" x14ac:dyDescent="0.25">
      <c r="A902" s="15"/>
      <c r="O902" s="32"/>
      <c r="Q902" s="14"/>
      <c r="T902" s="67"/>
      <c r="U902" s="23"/>
      <c r="V902" s="105"/>
      <c r="X902" s="24"/>
      <c r="Y902" s="18"/>
    </row>
    <row r="903" spans="1:25" ht="12.5" x14ac:dyDescent="0.25">
      <c r="A903" s="15"/>
      <c r="O903" s="32"/>
      <c r="Q903" s="14"/>
      <c r="T903" s="67"/>
      <c r="U903" s="23"/>
      <c r="V903" s="105"/>
      <c r="X903" s="24"/>
      <c r="Y903" s="18"/>
    </row>
    <row r="904" spans="1:25" ht="12.5" x14ac:dyDescent="0.25">
      <c r="A904" s="15"/>
      <c r="O904" s="32"/>
      <c r="Q904" s="14"/>
      <c r="T904" s="67"/>
      <c r="U904" s="23"/>
      <c r="V904" s="105"/>
      <c r="X904" s="24"/>
      <c r="Y904" s="18"/>
    </row>
    <row r="905" spans="1:25" ht="12.5" x14ac:dyDescent="0.25">
      <c r="A905" s="15"/>
      <c r="O905" s="32"/>
      <c r="Q905" s="14"/>
      <c r="T905" s="67"/>
      <c r="U905" s="23"/>
      <c r="V905" s="105"/>
      <c r="X905" s="24"/>
      <c r="Y905" s="18"/>
    </row>
    <row r="906" spans="1:25" ht="12.5" x14ac:dyDescent="0.25">
      <c r="A906" s="15"/>
      <c r="O906" s="32"/>
      <c r="Q906" s="14"/>
      <c r="T906" s="67"/>
      <c r="U906" s="23"/>
      <c r="V906" s="105"/>
      <c r="X906" s="24"/>
      <c r="Y906" s="18"/>
    </row>
    <row r="907" spans="1:25" ht="12.5" x14ac:dyDescent="0.25">
      <c r="A907" s="15"/>
      <c r="O907" s="32"/>
      <c r="Q907" s="14"/>
      <c r="T907" s="67"/>
      <c r="U907" s="23"/>
      <c r="V907" s="105"/>
      <c r="X907" s="24"/>
      <c r="Y907" s="18"/>
    </row>
    <row r="908" spans="1:25" ht="12.5" x14ac:dyDescent="0.25">
      <c r="A908" s="15"/>
      <c r="O908" s="32"/>
      <c r="Q908" s="14"/>
      <c r="T908" s="67"/>
      <c r="U908" s="23"/>
      <c r="V908" s="105"/>
      <c r="X908" s="24"/>
      <c r="Y908" s="18"/>
    </row>
    <row r="909" spans="1:25" ht="12.5" x14ac:dyDescent="0.25">
      <c r="A909" s="15"/>
      <c r="O909" s="32"/>
      <c r="Q909" s="14"/>
      <c r="T909" s="67"/>
      <c r="U909" s="23"/>
      <c r="V909" s="105"/>
      <c r="X909" s="24"/>
      <c r="Y909" s="18"/>
    </row>
    <row r="910" spans="1:25" ht="12.5" x14ac:dyDescent="0.25">
      <c r="A910" s="15"/>
      <c r="O910" s="32"/>
      <c r="Q910" s="14"/>
      <c r="T910" s="67"/>
      <c r="U910" s="23"/>
      <c r="V910" s="105"/>
      <c r="X910" s="24"/>
      <c r="Y910" s="18"/>
    </row>
    <row r="911" spans="1:25" ht="12.5" x14ac:dyDescent="0.25">
      <c r="A911" s="15"/>
      <c r="O911" s="32"/>
      <c r="Q911" s="14"/>
      <c r="T911" s="67"/>
      <c r="U911" s="23"/>
      <c r="V911" s="105"/>
      <c r="X911" s="24"/>
      <c r="Y911" s="18"/>
    </row>
    <row r="912" spans="1:25" ht="12.5" x14ac:dyDescent="0.25">
      <c r="A912" s="15"/>
      <c r="O912" s="32"/>
      <c r="Q912" s="14"/>
      <c r="T912" s="67"/>
      <c r="U912" s="23"/>
      <c r="V912" s="105"/>
      <c r="X912" s="24"/>
      <c r="Y912" s="18"/>
    </row>
    <row r="913" spans="1:25" ht="12.5" x14ac:dyDescent="0.25">
      <c r="A913" s="15"/>
      <c r="O913" s="32"/>
      <c r="Q913" s="14"/>
      <c r="T913" s="67"/>
      <c r="U913" s="23"/>
      <c r="V913" s="105"/>
      <c r="X913" s="24"/>
      <c r="Y913" s="18"/>
    </row>
    <row r="914" spans="1:25" ht="12.5" x14ac:dyDescent="0.25">
      <c r="A914" s="15"/>
      <c r="O914" s="32"/>
      <c r="Q914" s="14"/>
      <c r="T914" s="67"/>
      <c r="U914" s="23"/>
      <c r="V914" s="105"/>
      <c r="X914" s="24"/>
      <c r="Y914" s="18"/>
    </row>
    <row r="915" spans="1:25" ht="12.5" x14ac:dyDescent="0.25">
      <c r="A915" s="15"/>
      <c r="O915" s="32"/>
      <c r="Q915" s="14"/>
      <c r="T915" s="67"/>
      <c r="U915" s="23"/>
      <c r="V915" s="105"/>
      <c r="X915" s="24"/>
      <c r="Y915" s="18"/>
    </row>
    <row r="916" spans="1:25" ht="12.5" x14ac:dyDescent="0.25">
      <c r="A916" s="15"/>
      <c r="O916" s="32"/>
      <c r="Q916" s="14"/>
      <c r="T916" s="67"/>
      <c r="U916" s="23"/>
      <c r="V916" s="105"/>
      <c r="X916" s="24"/>
      <c r="Y916" s="18"/>
    </row>
    <row r="917" spans="1:25" ht="12.5" x14ac:dyDescent="0.25">
      <c r="A917" s="15"/>
      <c r="O917" s="32"/>
      <c r="Q917" s="14"/>
      <c r="T917" s="67"/>
      <c r="U917" s="23"/>
      <c r="V917" s="105"/>
      <c r="X917" s="24"/>
      <c r="Y917" s="18"/>
    </row>
    <row r="918" spans="1:25" ht="12.5" x14ac:dyDescent="0.25">
      <c r="A918" s="15"/>
      <c r="O918" s="32"/>
      <c r="Q918" s="14"/>
      <c r="T918" s="67"/>
      <c r="U918" s="23"/>
      <c r="V918" s="105"/>
      <c r="X918" s="24"/>
      <c r="Y918" s="18"/>
    </row>
    <row r="919" spans="1:25" ht="12.5" x14ac:dyDescent="0.25">
      <c r="A919" s="15"/>
      <c r="O919" s="32"/>
      <c r="Q919" s="14"/>
      <c r="T919" s="67"/>
      <c r="U919" s="23"/>
      <c r="V919" s="105"/>
      <c r="X919" s="24"/>
      <c r="Y919" s="18"/>
    </row>
    <row r="920" spans="1:25" ht="12.5" x14ac:dyDescent="0.25">
      <c r="A920" s="15"/>
      <c r="O920" s="32"/>
      <c r="Q920" s="14"/>
      <c r="T920" s="67"/>
      <c r="U920" s="23"/>
      <c r="V920" s="105"/>
      <c r="X920" s="24"/>
      <c r="Y920" s="18"/>
    </row>
    <row r="921" spans="1:25" ht="12.5" x14ac:dyDescent="0.25">
      <c r="A921" s="15"/>
      <c r="O921" s="32"/>
      <c r="Q921" s="14"/>
      <c r="T921" s="67"/>
      <c r="U921" s="23"/>
      <c r="V921" s="105"/>
      <c r="X921" s="24"/>
      <c r="Y921" s="18"/>
    </row>
    <row r="922" spans="1:25" ht="12.5" x14ac:dyDescent="0.25">
      <c r="A922" s="15"/>
      <c r="O922" s="32"/>
      <c r="Q922" s="14"/>
      <c r="T922" s="67"/>
      <c r="U922" s="23"/>
      <c r="V922" s="105"/>
      <c r="X922" s="24"/>
      <c r="Y922" s="18"/>
    </row>
    <row r="923" spans="1:25" ht="12.5" x14ac:dyDescent="0.25">
      <c r="A923" s="15"/>
      <c r="O923" s="32"/>
      <c r="Q923" s="14"/>
      <c r="T923" s="67"/>
      <c r="U923" s="23"/>
      <c r="V923" s="105"/>
      <c r="X923" s="24"/>
      <c r="Y923" s="18"/>
    </row>
    <row r="924" spans="1:25" ht="12.5" x14ac:dyDescent="0.25">
      <c r="A924" s="15"/>
      <c r="O924" s="32"/>
      <c r="Q924" s="14"/>
      <c r="T924" s="67"/>
      <c r="U924" s="23"/>
      <c r="V924" s="105"/>
      <c r="X924" s="24"/>
      <c r="Y924" s="18"/>
    </row>
    <row r="925" spans="1:25" ht="12.5" x14ac:dyDescent="0.25">
      <c r="A925" s="15"/>
      <c r="O925" s="32"/>
      <c r="Q925" s="14"/>
      <c r="T925" s="67"/>
      <c r="U925" s="23"/>
      <c r="V925" s="105"/>
      <c r="X925" s="24"/>
      <c r="Y925" s="18"/>
    </row>
    <row r="926" spans="1:25" ht="12.5" x14ac:dyDescent="0.25">
      <c r="A926" s="15"/>
      <c r="O926" s="32"/>
      <c r="Q926" s="14"/>
      <c r="T926" s="67"/>
      <c r="U926" s="23"/>
      <c r="V926" s="105"/>
      <c r="X926" s="24"/>
      <c r="Y926" s="18"/>
    </row>
    <row r="927" spans="1:25" ht="12.5" x14ac:dyDescent="0.25">
      <c r="A927" s="15"/>
      <c r="O927" s="32"/>
      <c r="Q927" s="14"/>
      <c r="T927" s="67"/>
      <c r="U927" s="23"/>
      <c r="V927" s="105"/>
      <c r="X927" s="24"/>
      <c r="Y927" s="18"/>
    </row>
    <row r="928" spans="1:25" ht="12.5" x14ac:dyDescent="0.25">
      <c r="A928" s="15"/>
      <c r="O928" s="32"/>
      <c r="Q928" s="14"/>
      <c r="T928" s="67"/>
      <c r="U928" s="23"/>
      <c r="V928" s="105"/>
      <c r="X928" s="24"/>
      <c r="Y928" s="18"/>
    </row>
    <row r="929" spans="1:25" ht="12.5" x14ac:dyDescent="0.25">
      <c r="A929" s="15"/>
      <c r="O929" s="32"/>
      <c r="Q929" s="14"/>
      <c r="T929" s="67"/>
      <c r="U929" s="23"/>
      <c r="V929" s="105"/>
      <c r="X929" s="24"/>
      <c r="Y929" s="18"/>
    </row>
    <row r="930" spans="1:25" ht="12.5" x14ac:dyDescent="0.25">
      <c r="A930" s="15"/>
      <c r="O930" s="32"/>
      <c r="Q930" s="14"/>
      <c r="T930" s="67"/>
      <c r="U930" s="23"/>
      <c r="V930" s="105"/>
      <c r="X930" s="24"/>
      <c r="Y930" s="18"/>
    </row>
    <row r="931" spans="1:25" ht="12.5" x14ac:dyDescent="0.25">
      <c r="A931" s="15"/>
      <c r="O931" s="32"/>
      <c r="Q931" s="14"/>
      <c r="T931" s="67"/>
      <c r="U931" s="23"/>
      <c r="V931" s="105"/>
      <c r="X931" s="24"/>
      <c r="Y931" s="18"/>
    </row>
    <row r="932" spans="1:25" ht="12.5" x14ac:dyDescent="0.25">
      <c r="A932" s="15"/>
      <c r="O932" s="32"/>
      <c r="Q932" s="14"/>
      <c r="T932" s="67"/>
      <c r="U932" s="23"/>
      <c r="V932" s="105"/>
      <c r="X932" s="24"/>
      <c r="Y932" s="18"/>
    </row>
    <row r="933" spans="1:25" ht="12.5" x14ac:dyDescent="0.25">
      <c r="A933" s="15"/>
      <c r="O933" s="32"/>
      <c r="Q933" s="14"/>
      <c r="T933" s="67"/>
      <c r="U933" s="23"/>
      <c r="V933" s="105"/>
      <c r="X933" s="24"/>
      <c r="Y933" s="18"/>
    </row>
    <row r="934" spans="1:25" ht="12.5" x14ac:dyDescent="0.25">
      <c r="A934" s="15"/>
      <c r="O934" s="32"/>
      <c r="Q934" s="14"/>
      <c r="T934" s="67"/>
      <c r="U934" s="23"/>
      <c r="V934" s="105"/>
      <c r="X934" s="24"/>
      <c r="Y934" s="18"/>
    </row>
    <row r="935" spans="1:25" ht="12.5" x14ac:dyDescent="0.25">
      <c r="A935" s="15"/>
      <c r="O935" s="32"/>
      <c r="Q935" s="14"/>
      <c r="T935" s="67"/>
      <c r="U935" s="23"/>
      <c r="V935" s="105"/>
      <c r="X935" s="24"/>
      <c r="Y935" s="18"/>
    </row>
    <row r="936" spans="1:25" ht="12.5" x14ac:dyDescent="0.25">
      <c r="A936" s="15"/>
      <c r="O936" s="32"/>
      <c r="Q936" s="14"/>
      <c r="T936" s="67"/>
      <c r="U936" s="23"/>
      <c r="V936" s="105"/>
      <c r="X936" s="24"/>
      <c r="Y936" s="18"/>
    </row>
    <row r="937" spans="1:25" ht="12.5" x14ac:dyDescent="0.25">
      <c r="A937" s="15"/>
      <c r="O937" s="32"/>
      <c r="Q937" s="14"/>
      <c r="T937" s="67"/>
      <c r="U937" s="23"/>
      <c r="V937" s="105"/>
      <c r="X937" s="24"/>
      <c r="Y937" s="18"/>
    </row>
    <row r="938" spans="1:25" ht="12.5" x14ac:dyDescent="0.25">
      <c r="A938" s="15"/>
      <c r="O938" s="32"/>
      <c r="Q938" s="14"/>
      <c r="T938" s="67"/>
      <c r="U938" s="23"/>
      <c r="V938" s="105"/>
      <c r="X938" s="24"/>
      <c r="Y938" s="18"/>
    </row>
    <row r="939" spans="1:25" ht="12.5" x14ac:dyDescent="0.25">
      <c r="A939" s="15"/>
      <c r="O939" s="32"/>
      <c r="Q939" s="14"/>
      <c r="T939" s="67"/>
      <c r="U939" s="23"/>
      <c r="V939" s="105"/>
      <c r="X939" s="24"/>
      <c r="Y939" s="18"/>
    </row>
    <row r="940" spans="1:25" ht="12.5" x14ac:dyDescent="0.25">
      <c r="A940" s="15"/>
      <c r="O940" s="32"/>
      <c r="Q940" s="14"/>
      <c r="T940" s="67"/>
      <c r="U940" s="23"/>
      <c r="V940" s="105"/>
      <c r="X940" s="24"/>
      <c r="Y940" s="18"/>
    </row>
    <row r="941" spans="1:25" ht="12.5" x14ac:dyDescent="0.25">
      <c r="A941" s="15"/>
      <c r="O941" s="32"/>
      <c r="Q941" s="14"/>
      <c r="T941" s="67"/>
      <c r="U941" s="23"/>
      <c r="V941" s="105"/>
      <c r="X941" s="24"/>
      <c r="Y941" s="18"/>
    </row>
    <row r="942" spans="1:25" ht="12.5" x14ac:dyDescent="0.25">
      <c r="A942" s="15"/>
      <c r="O942" s="32"/>
      <c r="Q942" s="14"/>
      <c r="T942" s="67"/>
      <c r="U942" s="23"/>
      <c r="V942" s="105"/>
      <c r="X942" s="24"/>
      <c r="Y942" s="18"/>
    </row>
    <row r="943" spans="1:25" ht="12.5" x14ac:dyDescent="0.25">
      <c r="A943" s="15"/>
      <c r="O943" s="32"/>
      <c r="Q943" s="14"/>
      <c r="T943" s="67"/>
      <c r="U943" s="23"/>
      <c r="V943" s="105"/>
      <c r="X943" s="24"/>
      <c r="Y943" s="18"/>
    </row>
    <row r="944" spans="1:25" ht="12.5" x14ac:dyDescent="0.25">
      <c r="A944" s="15"/>
      <c r="O944" s="32"/>
      <c r="Q944" s="14"/>
      <c r="T944" s="67"/>
      <c r="U944" s="23"/>
      <c r="V944" s="105"/>
      <c r="X944" s="24"/>
      <c r="Y944" s="18"/>
    </row>
    <row r="945" spans="1:25" ht="12.5" x14ac:dyDescent="0.25">
      <c r="A945" s="15"/>
      <c r="O945" s="32"/>
      <c r="Q945" s="14"/>
      <c r="T945" s="67"/>
      <c r="U945" s="23"/>
      <c r="V945" s="105"/>
      <c r="X945" s="24"/>
      <c r="Y945" s="18"/>
    </row>
    <row r="946" spans="1:25" ht="12.5" x14ac:dyDescent="0.25">
      <c r="A946" s="15"/>
      <c r="O946" s="32"/>
      <c r="Q946" s="14"/>
      <c r="T946" s="67"/>
      <c r="U946" s="23"/>
      <c r="V946" s="105"/>
      <c r="X946" s="24"/>
      <c r="Y946" s="18"/>
    </row>
    <row r="947" spans="1:25" ht="12.5" x14ac:dyDescent="0.25">
      <c r="A947" s="15"/>
      <c r="O947" s="32"/>
      <c r="Q947" s="14"/>
      <c r="T947" s="67"/>
      <c r="U947" s="23"/>
      <c r="V947" s="105"/>
      <c r="X947" s="24"/>
      <c r="Y947" s="18"/>
    </row>
    <row r="948" spans="1:25" ht="12.5" x14ac:dyDescent="0.25">
      <c r="A948" s="15"/>
      <c r="O948" s="32"/>
      <c r="Q948" s="14"/>
      <c r="T948" s="67"/>
      <c r="U948" s="23"/>
      <c r="V948" s="105"/>
      <c r="X948" s="24"/>
      <c r="Y948" s="18"/>
    </row>
    <row r="949" spans="1:25" ht="12.5" x14ac:dyDescent="0.25">
      <c r="A949" s="15"/>
      <c r="O949" s="32"/>
      <c r="Q949" s="14"/>
      <c r="T949" s="67"/>
      <c r="U949" s="23"/>
      <c r="V949" s="105"/>
      <c r="X949" s="24"/>
      <c r="Y949" s="18"/>
    </row>
    <row r="950" spans="1:25" ht="12.5" x14ac:dyDescent="0.25">
      <c r="A950" s="15"/>
      <c r="O950" s="32"/>
      <c r="Q950" s="14"/>
      <c r="T950" s="67"/>
      <c r="U950" s="23"/>
      <c r="V950" s="105"/>
      <c r="X950" s="24"/>
      <c r="Y950" s="18"/>
    </row>
    <row r="951" spans="1:25" ht="12.5" x14ac:dyDescent="0.25">
      <c r="A951" s="15"/>
      <c r="O951" s="32"/>
      <c r="Q951" s="14"/>
      <c r="T951" s="67"/>
      <c r="U951" s="23"/>
      <c r="V951" s="105"/>
      <c r="X951" s="24"/>
      <c r="Y951" s="18"/>
    </row>
    <row r="952" spans="1:25" ht="12.5" x14ac:dyDescent="0.25">
      <c r="A952" s="15"/>
      <c r="O952" s="32"/>
      <c r="Q952" s="14"/>
      <c r="T952" s="67"/>
      <c r="U952" s="23"/>
      <c r="V952" s="105"/>
      <c r="X952" s="24"/>
      <c r="Y952" s="18"/>
    </row>
    <row r="953" spans="1:25" ht="12.5" x14ac:dyDescent="0.25">
      <c r="A953" s="15"/>
      <c r="O953" s="32"/>
      <c r="Q953" s="14"/>
      <c r="T953" s="67"/>
      <c r="U953" s="23"/>
      <c r="V953" s="105"/>
      <c r="X953" s="24"/>
      <c r="Y953" s="18"/>
    </row>
    <row r="954" spans="1:25" ht="12.5" x14ac:dyDescent="0.25">
      <c r="A954" s="15"/>
      <c r="O954" s="32"/>
      <c r="Q954" s="14"/>
      <c r="T954" s="67"/>
      <c r="U954" s="23"/>
      <c r="V954" s="105"/>
      <c r="X954" s="24"/>
      <c r="Y954" s="18"/>
    </row>
    <row r="955" spans="1:25" ht="12.5" x14ac:dyDescent="0.25">
      <c r="A955" s="15"/>
      <c r="O955" s="32"/>
      <c r="Q955" s="14"/>
      <c r="T955" s="67"/>
      <c r="U955" s="23"/>
      <c r="V955" s="105"/>
      <c r="X955" s="24"/>
      <c r="Y955" s="18"/>
    </row>
    <row r="956" spans="1:25" ht="12.5" x14ac:dyDescent="0.25">
      <c r="A956" s="15"/>
      <c r="O956" s="32"/>
      <c r="Q956" s="14"/>
      <c r="T956" s="67"/>
      <c r="U956" s="23"/>
      <c r="V956" s="105"/>
      <c r="X956" s="24"/>
      <c r="Y956" s="18"/>
    </row>
    <row r="957" spans="1:25" ht="12.5" x14ac:dyDescent="0.25">
      <c r="A957" s="15"/>
      <c r="O957" s="32"/>
      <c r="Q957" s="14"/>
      <c r="T957" s="67"/>
      <c r="U957" s="23"/>
      <c r="V957" s="105"/>
      <c r="X957" s="24"/>
      <c r="Y957" s="18"/>
    </row>
    <row r="958" spans="1:25" ht="12.5" x14ac:dyDescent="0.25">
      <c r="A958" s="15"/>
      <c r="O958" s="32"/>
      <c r="Q958" s="14"/>
      <c r="T958" s="67"/>
      <c r="U958" s="23"/>
      <c r="V958" s="105"/>
      <c r="X958" s="24"/>
      <c r="Y958" s="18"/>
    </row>
    <row r="959" spans="1:25" ht="12.5" x14ac:dyDescent="0.25">
      <c r="A959" s="15"/>
      <c r="O959" s="32"/>
      <c r="Q959" s="14"/>
      <c r="T959" s="67"/>
      <c r="U959" s="23"/>
      <c r="V959" s="105"/>
      <c r="X959" s="24"/>
      <c r="Y959" s="18"/>
    </row>
    <row r="960" spans="1:25" ht="12.5" x14ac:dyDescent="0.25">
      <c r="A960" s="15"/>
      <c r="O960" s="32"/>
      <c r="Q960" s="14"/>
      <c r="T960" s="67"/>
      <c r="U960" s="23"/>
      <c r="V960" s="105"/>
      <c r="X960" s="24"/>
      <c r="Y960" s="18"/>
    </row>
    <row r="961" spans="1:25" ht="12.5" x14ac:dyDescent="0.25">
      <c r="A961" s="15"/>
      <c r="O961" s="32"/>
      <c r="Q961" s="14"/>
      <c r="T961" s="67"/>
      <c r="U961" s="23"/>
      <c r="V961" s="105"/>
      <c r="X961" s="24"/>
      <c r="Y961" s="18"/>
    </row>
    <row r="962" spans="1:25" ht="12.5" x14ac:dyDescent="0.25">
      <c r="A962" s="15"/>
      <c r="O962" s="32"/>
      <c r="Q962" s="14"/>
      <c r="T962" s="67"/>
      <c r="U962" s="23"/>
      <c r="V962" s="105"/>
      <c r="X962" s="24"/>
      <c r="Y962" s="18"/>
    </row>
    <row r="963" spans="1:25" ht="12.5" x14ac:dyDescent="0.25">
      <c r="A963" s="15"/>
      <c r="O963" s="32"/>
      <c r="Q963" s="14"/>
      <c r="T963" s="67"/>
      <c r="U963" s="23"/>
      <c r="V963" s="105"/>
      <c r="X963" s="24"/>
      <c r="Y963" s="18"/>
    </row>
    <row r="964" spans="1:25" ht="12.5" x14ac:dyDescent="0.25">
      <c r="A964" s="15"/>
      <c r="O964" s="32"/>
      <c r="Q964" s="14"/>
      <c r="T964" s="67"/>
      <c r="U964" s="23"/>
      <c r="V964" s="105"/>
      <c r="X964" s="24"/>
      <c r="Y964" s="18"/>
    </row>
    <row r="965" spans="1:25" ht="12.5" x14ac:dyDescent="0.25">
      <c r="A965" s="15"/>
      <c r="O965" s="32"/>
      <c r="Q965" s="14"/>
      <c r="T965" s="67"/>
      <c r="U965" s="23"/>
      <c r="V965" s="105"/>
      <c r="X965" s="24"/>
      <c r="Y965" s="18"/>
    </row>
    <row r="966" spans="1:25" ht="12.5" x14ac:dyDescent="0.25">
      <c r="A966" s="15"/>
      <c r="O966" s="32"/>
      <c r="Q966" s="14"/>
      <c r="T966" s="67"/>
      <c r="U966" s="23"/>
      <c r="V966" s="105"/>
      <c r="X966" s="24"/>
      <c r="Y966" s="18"/>
    </row>
    <row r="967" spans="1:25" ht="12.5" x14ac:dyDescent="0.25">
      <c r="A967" s="15"/>
      <c r="O967" s="32"/>
      <c r="Q967" s="14"/>
      <c r="T967" s="67"/>
      <c r="U967" s="23"/>
      <c r="V967" s="105"/>
      <c r="X967" s="24"/>
      <c r="Y967" s="18"/>
    </row>
    <row r="968" spans="1:25" ht="12.5" x14ac:dyDescent="0.25">
      <c r="A968" s="15"/>
      <c r="O968" s="32"/>
      <c r="Q968" s="14"/>
      <c r="T968" s="67"/>
      <c r="U968" s="23"/>
      <c r="V968" s="105"/>
      <c r="X968" s="24"/>
      <c r="Y968" s="18"/>
    </row>
    <row r="969" spans="1:25" ht="12.5" x14ac:dyDescent="0.25">
      <c r="A969" s="15"/>
      <c r="O969" s="32"/>
      <c r="Q969" s="14"/>
      <c r="T969" s="67"/>
      <c r="U969" s="23"/>
      <c r="V969" s="105"/>
      <c r="X969" s="24"/>
      <c r="Y969" s="18"/>
    </row>
    <row r="970" spans="1:25" ht="12.5" x14ac:dyDescent="0.25">
      <c r="A970" s="15"/>
      <c r="O970" s="32"/>
      <c r="Q970" s="14"/>
      <c r="T970" s="67"/>
      <c r="U970" s="23"/>
      <c r="V970" s="105"/>
      <c r="X970" s="24"/>
      <c r="Y970" s="18"/>
    </row>
    <row r="971" spans="1:25" ht="12.5" x14ac:dyDescent="0.25">
      <c r="A971" s="15"/>
      <c r="O971" s="32"/>
      <c r="Q971" s="14"/>
      <c r="T971" s="67"/>
      <c r="U971" s="23"/>
      <c r="V971" s="105"/>
      <c r="X971" s="24"/>
      <c r="Y971" s="18"/>
    </row>
    <row r="972" spans="1:25" ht="12.5" x14ac:dyDescent="0.25">
      <c r="A972" s="15"/>
      <c r="O972" s="32"/>
      <c r="Q972" s="14"/>
      <c r="T972" s="67"/>
      <c r="U972" s="23"/>
      <c r="V972" s="105"/>
      <c r="X972" s="24"/>
      <c r="Y972" s="18"/>
    </row>
    <row r="973" spans="1:25" ht="12.5" x14ac:dyDescent="0.25">
      <c r="A973" s="15"/>
      <c r="O973" s="32"/>
      <c r="Q973" s="14"/>
      <c r="T973" s="67"/>
      <c r="U973" s="23"/>
      <c r="V973" s="105"/>
      <c r="X973" s="24"/>
      <c r="Y973" s="18"/>
    </row>
    <row r="974" spans="1:25" ht="12.5" x14ac:dyDescent="0.25">
      <c r="A974" s="15"/>
      <c r="O974" s="32"/>
      <c r="Q974" s="14"/>
      <c r="T974" s="67"/>
      <c r="U974" s="23"/>
      <c r="V974" s="105"/>
      <c r="X974" s="24"/>
      <c r="Y974" s="18"/>
    </row>
    <row r="975" spans="1:25" ht="12.5" x14ac:dyDescent="0.25">
      <c r="A975" s="15"/>
      <c r="E975" s="35"/>
      <c r="O975" s="32"/>
      <c r="Q975" s="14"/>
      <c r="T975" s="67"/>
      <c r="U975" s="23"/>
      <c r="V975" s="105"/>
      <c r="X975" s="24"/>
      <c r="Y975" s="18"/>
    </row>
  </sheetData>
  <mergeCells count="28">
    <mergeCell ref="D1:G1"/>
    <mergeCell ref="U2:V2"/>
    <mergeCell ref="W2:W3"/>
    <mergeCell ref="X2:X3"/>
    <mergeCell ref="Q2:Q3"/>
    <mergeCell ref="O2:O3"/>
    <mergeCell ref="I2:I3"/>
    <mergeCell ref="J2:J3"/>
    <mergeCell ref="K2:K3"/>
    <mergeCell ref="L2:L3"/>
    <mergeCell ref="P2:P3"/>
    <mergeCell ref="M2:N2"/>
    <mergeCell ref="Y2:Y3"/>
    <mergeCell ref="A1:A3"/>
    <mergeCell ref="B1:C1"/>
    <mergeCell ref="O1:V1"/>
    <mergeCell ref="W1:Z1"/>
    <mergeCell ref="B2:B3"/>
    <mergeCell ref="Z2:Z3"/>
    <mergeCell ref="C2:C3"/>
    <mergeCell ref="D2:D3"/>
    <mergeCell ref="E2:E3"/>
    <mergeCell ref="F2:F3"/>
    <mergeCell ref="G2:G3"/>
    <mergeCell ref="H2:H3"/>
    <mergeCell ref="R2:R3"/>
    <mergeCell ref="S2:T2"/>
    <mergeCell ref="H1:N1"/>
  </mergeCells>
  <phoneticPr fontId="17" type="noConversion"/>
  <hyperlinks>
    <hyperlink ref="AA4" r:id="rId1" xr:uid="{00000000-0004-0000-0000-000000000000}"/>
    <hyperlink ref="AA5" r:id="rId2" xr:uid="{00000000-0004-0000-0000-000001000000}"/>
    <hyperlink ref="AA6" r:id="rId3" xr:uid="{00000000-0004-0000-0000-000002000000}"/>
    <hyperlink ref="AA7" r:id="rId4" xr:uid="{00000000-0004-0000-0000-000003000000}"/>
    <hyperlink ref="AA8" r:id="rId5" xr:uid="{00000000-0004-0000-0000-000004000000}"/>
    <hyperlink ref="AA9" r:id="rId6" xr:uid="{00000000-0004-0000-0000-000005000000}"/>
    <hyperlink ref="AA10" r:id="rId7" xr:uid="{00000000-0004-0000-0000-000006000000}"/>
    <hyperlink ref="AA11" r:id="rId8" xr:uid="{00000000-0004-0000-0000-000007000000}"/>
    <hyperlink ref="AA12" r:id="rId9" xr:uid="{00000000-0004-0000-0000-000008000000}"/>
    <hyperlink ref="AA13" r:id="rId10" xr:uid="{00000000-0004-0000-0000-000009000000}"/>
    <hyperlink ref="AA14" r:id="rId11" xr:uid="{00000000-0004-0000-0000-00000A000000}"/>
    <hyperlink ref="AA15" r:id="rId12" xr:uid="{00000000-0004-0000-0000-00000B000000}"/>
    <hyperlink ref="AA16" r:id="rId13" xr:uid="{00000000-0004-0000-0000-00000C000000}"/>
    <hyperlink ref="AA17" r:id="rId14" xr:uid="{00000000-0004-0000-0000-00000D000000}"/>
    <hyperlink ref="AA18" r:id="rId15" xr:uid="{00000000-0004-0000-0000-00000E000000}"/>
    <hyperlink ref="AA21" r:id="rId16" xr:uid="{00000000-0004-0000-0000-00000F000000}"/>
    <hyperlink ref="AA22" r:id="rId17" xr:uid="{00000000-0004-0000-0000-000010000000}"/>
    <hyperlink ref="AA23" r:id="rId18" xr:uid="{00000000-0004-0000-0000-000011000000}"/>
    <hyperlink ref="AA24" r:id="rId19" xr:uid="{00000000-0004-0000-0000-000012000000}"/>
    <hyperlink ref="AA25" r:id="rId20" xr:uid="{00000000-0004-0000-0000-000013000000}"/>
    <hyperlink ref="AA26" r:id="rId21" xr:uid="{00000000-0004-0000-0000-000014000000}"/>
    <hyperlink ref="AA27" r:id="rId22" xr:uid="{00000000-0004-0000-0000-000015000000}"/>
    <hyperlink ref="AA28" r:id="rId23" xr:uid="{00000000-0004-0000-0000-000016000000}"/>
    <hyperlink ref="AA29" r:id="rId24" xr:uid="{00000000-0004-0000-0000-000017000000}"/>
    <hyperlink ref="AA30" r:id="rId25" xr:uid="{00000000-0004-0000-0000-000018000000}"/>
    <hyperlink ref="AA37" r:id="rId26" xr:uid="{00000000-0004-0000-0000-000019000000}"/>
    <hyperlink ref="AA38" r:id="rId27" xr:uid="{00000000-0004-0000-0000-00001A000000}"/>
    <hyperlink ref="AA39" r:id="rId28" xr:uid="{00000000-0004-0000-0000-00001B000000}"/>
    <hyperlink ref="AA40" r:id="rId29" location="sec0050" xr:uid="{00000000-0004-0000-0000-00001C000000}"/>
    <hyperlink ref="AA41" r:id="rId30" location="sec0050" xr:uid="{00000000-0004-0000-0000-00001D000000}"/>
    <hyperlink ref="AA42" r:id="rId31" location="s0070" xr:uid="{00000000-0004-0000-0000-00001E000000}"/>
    <hyperlink ref="AA43" r:id="rId32" location="s0070" xr:uid="{00000000-0004-0000-0000-00001F000000}"/>
    <hyperlink ref="AA44" r:id="rId33" location="s0070" xr:uid="{00000000-0004-0000-0000-000020000000}"/>
    <hyperlink ref="AA45" r:id="rId34" location="s0070" xr:uid="{00000000-0004-0000-0000-000021000000}"/>
    <hyperlink ref="AA46" r:id="rId35" xr:uid="{00000000-0004-0000-0000-000022000000}"/>
    <hyperlink ref="AA47" r:id="rId36" xr:uid="{00000000-0004-0000-0000-000023000000}"/>
    <hyperlink ref="AA48" r:id="rId37" xr:uid="{00000000-0004-0000-0000-000024000000}"/>
    <hyperlink ref="AA49" r:id="rId38" xr:uid="{00000000-0004-0000-0000-000025000000}"/>
    <hyperlink ref="AA50" r:id="rId39" xr:uid="{00000000-0004-0000-0000-000026000000}"/>
    <hyperlink ref="AA51" r:id="rId40" xr:uid="{00000000-0004-0000-0000-000027000000}"/>
    <hyperlink ref="AA52" r:id="rId41" xr:uid="{00000000-0004-0000-0000-000028000000}"/>
    <hyperlink ref="AA53" r:id="rId42" xr:uid="{00000000-0004-0000-0000-000029000000}"/>
    <hyperlink ref="AA54" r:id="rId43" xr:uid="{00000000-0004-0000-0000-00002A000000}"/>
    <hyperlink ref="AA55" r:id="rId44" location="appsec1" xr:uid="{00000000-0004-0000-0000-00002B000000}"/>
    <hyperlink ref="AA56" r:id="rId45" location="appsec1" xr:uid="{00000000-0004-0000-0000-00002C000000}"/>
    <hyperlink ref="AA57" r:id="rId46" location="appsec1" xr:uid="{00000000-0004-0000-0000-00002D000000}"/>
    <hyperlink ref="AA58" r:id="rId47" location="appsec1" xr:uid="{00000000-0004-0000-0000-00002E000000}"/>
    <hyperlink ref="AA59" r:id="rId48" xr:uid="{00000000-0004-0000-0000-00002F000000}"/>
    <hyperlink ref="AA60" r:id="rId49" xr:uid="{00000000-0004-0000-0000-000030000000}"/>
    <hyperlink ref="AA61" r:id="rId50" xr:uid="{00000000-0004-0000-0000-000031000000}"/>
    <hyperlink ref="AA62" r:id="rId51" xr:uid="{00000000-0004-0000-0000-000032000000}"/>
    <hyperlink ref="AA63" r:id="rId52" xr:uid="{00000000-0004-0000-0000-000033000000}"/>
    <hyperlink ref="AA64" r:id="rId53" xr:uid="{00000000-0004-0000-0000-000034000000}"/>
    <hyperlink ref="AA65" r:id="rId54" xr:uid="{00000000-0004-0000-0000-000035000000}"/>
    <hyperlink ref="AA66" r:id="rId55" location="bib8" xr:uid="{00000000-0004-0000-0000-000036000000}"/>
    <hyperlink ref="AA67" r:id="rId56" location="bib8" xr:uid="{00000000-0004-0000-0000-000037000000}"/>
    <hyperlink ref="AA68" r:id="rId57" location="bib8" xr:uid="{00000000-0004-0000-0000-000038000000}"/>
    <hyperlink ref="AA69" r:id="rId58" location="bib8" xr:uid="{00000000-0004-0000-0000-000039000000}"/>
    <hyperlink ref="AA70" r:id="rId59" location="bib8" xr:uid="{00000000-0004-0000-0000-00003A000000}"/>
    <hyperlink ref="AA71" r:id="rId60" xr:uid="{00000000-0004-0000-0000-00003B000000}"/>
    <hyperlink ref="AA72" r:id="rId61" xr:uid="{00000000-0004-0000-0000-00003C000000}"/>
    <hyperlink ref="AA73" r:id="rId62" xr:uid="{00000000-0004-0000-0000-00003D000000}"/>
    <hyperlink ref="AA74" r:id="rId63" location="fn1" xr:uid="{00000000-0004-0000-0000-00003E000000}"/>
    <hyperlink ref="AA75" r:id="rId64" location="fn1" xr:uid="{00000000-0004-0000-0000-00003F000000}"/>
    <hyperlink ref="AA76" r:id="rId65" location="fn1" xr:uid="{00000000-0004-0000-0000-000040000000}"/>
    <hyperlink ref="AA77" r:id="rId66" location="fn1" xr:uid="{00000000-0004-0000-0000-000041000000}"/>
    <hyperlink ref="AA78" r:id="rId67" location="fn1" xr:uid="{00000000-0004-0000-0000-000042000000}"/>
    <hyperlink ref="AA79" r:id="rId68" xr:uid="{00000000-0004-0000-0000-000043000000}"/>
    <hyperlink ref="AA80" r:id="rId69" xr:uid="{00000000-0004-0000-0000-000044000000}"/>
    <hyperlink ref="AA81" r:id="rId70" xr:uid="{00000000-0004-0000-0000-000045000000}"/>
    <hyperlink ref="AA82" r:id="rId71" xr:uid="{00000000-0004-0000-0000-000046000000}"/>
    <hyperlink ref="AA83" r:id="rId72" xr:uid="{00000000-0004-0000-0000-000048000000}"/>
    <hyperlink ref="AA84" r:id="rId73" xr:uid="{00000000-0004-0000-0000-000049000000}"/>
    <hyperlink ref="AA85" r:id="rId74" xr:uid="{00000000-0004-0000-0000-00004A000000}"/>
    <hyperlink ref="AA86" r:id="rId75" xr:uid="{00000000-0004-0000-0000-00004B000000}"/>
    <hyperlink ref="AA87" r:id="rId76" xr:uid="{00000000-0004-0000-0000-00004C000000}"/>
    <hyperlink ref="AA88" r:id="rId77" xr:uid="{00000000-0004-0000-0000-00004D000000}"/>
    <hyperlink ref="AA89" r:id="rId78" xr:uid="{00000000-0004-0000-0000-00004E000000}"/>
    <hyperlink ref="AA90" r:id="rId79" xr:uid="{00000000-0004-0000-0000-00004F000000}"/>
    <hyperlink ref="AA91" r:id="rId80" xr:uid="{00000000-0004-0000-0000-000050000000}"/>
    <hyperlink ref="AA92" r:id="rId81" xr:uid="{00000000-0004-0000-0000-000051000000}"/>
    <hyperlink ref="AA93" r:id="rId82" xr:uid="{00000000-0004-0000-0000-000052000000}"/>
    <hyperlink ref="AA94" r:id="rId83" xr:uid="{00000000-0004-0000-0000-000053000000}"/>
    <hyperlink ref="AA95" r:id="rId84" xr:uid="{00000000-0004-0000-0000-000054000000}"/>
    <hyperlink ref="AA96" r:id="rId85" xr:uid="{00000000-0004-0000-0000-000055000000}"/>
    <hyperlink ref="AA97" r:id="rId86" xr:uid="{00000000-0004-0000-0000-000056000000}"/>
    <hyperlink ref="AA98" r:id="rId87" xr:uid="{00000000-0004-0000-0000-000057000000}"/>
    <hyperlink ref="AA99" r:id="rId88" xr:uid="{00000000-0004-0000-0000-000058000000}"/>
    <hyperlink ref="AA100" r:id="rId89" xr:uid="{00000000-0004-0000-0000-000059000000}"/>
    <hyperlink ref="AA19" r:id="rId90" xr:uid="{34E45C71-203A-4AEE-86BF-4EFD52046B2A}"/>
    <hyperlink ref="AA20" r:id="rId91" xr:uid="{A0D58BB7-56BF-46AA-B263-433140BE3CC9}"/>
    <hyperlink ref="AA31" r:id="rId92" display="https://hal.science/hal-03320889/file/C Nita et al. - J Energ Chem 2021-HAL.pdf" xr:uid="{7712FD10-CEF2-4F4E-86E4-E70284EDED03}"/>
    <hyperlink ref="AA32" r:id="rId93" display="https://hal.science/hal-03320889/file/C Nita et al. - J Energ Chem 2021-HAL.pdf" xr:uid="{4C6C9A65-CEE6-4363-8B64-78644BF69256}"/>
    <hyperlink ref="AA33" r:id="rId94" display="https://hal.science/hal-03320889/file/C Nita et al. - J Energ Chem 2021-HAL.pdf" xr:uid="{04F2353D-01FE-48DF-8E3C-728A38D90F50}"/>
    <hyperlink ref="AA34" r:id="rId95" display="https://pubs.acs.org/doi/10.1021/acsami.9b01419" xr:uid="{EFB07056-4F52-40F2-9A30-6F9F09DFBC10}"/>
    <hyperlink ref="AA35" r:id="rId96" display="https://pubs.acs.org/doi/10.1021/acsami.9b01419" xr:uid="{1C50832A-3EE8-4A5F-BF4B-01D51B9BB5B2}"/>
    <hyperlink ref="AA36" r:id="rId97" display="https://pubs.acs.org/doi/10.1021/acsami.9b01419" xr:uid="{C0CAA759-972F-4AF2-BD83-65E5F0879EF5}"/>
    <hyperlink ref="AA101" r:id="rId98" display="https://chemrxiv.org/engage/api-gateway/chemrxiv/assets/orp/resource/item/6153379ed1fc33564cf738c7/original/hard-carbon-derived-from-avocado-peels-as-a-high-capacity-high-performance-anode-material-for-sodium-ion-batteries.pdf" xr:uid="{437E7287-F070-4A94-9454-CD1BB0BF8AC9}"/>
    <hyperlink ref="AA102" r:id="rId99" display="https://chemrxiv.org/engage/api-gateway/chemrxiv/assets/orp/resource/item/6153379ed1fc33564cf738c7/original/hard-carbon-derived-from-avocado-peels-as-a-high-capacity-high-performance-anode-material-for-sodium-ion-batteries.pdf" xr:uid="{4B842BF9-8BFD-4778-998D-99403F73A641}"/>
    <hyperlink ref="AA104" r:id="rId100" display="https://pubs.acs.org/doi/full/10.1021/acs.chemmater.9b05235" xr:uid="{8EED57B9-E2A4-4995-8221-CC25484B4076}"/>
    <hyperlink ref="AA103" r:id="rId101" display="https://pubs.acs.org/doi/full/10.1021/acs.chemmater.9b05235" xr:uid="{5428087A-73CC-46F8-B26E-0D290B5FFC59}"/>
    <hyperlink ref="AA105" r:id="rId102" display="https://pubs.acs.org/doi/full/10.1021/acs.chemmater.9b05235" xr:uid="{F1C454AB-0067-4445-BD13-7902CBEDAB78}"/>
    <hyperlink ref="AA106" r:id="rId103" display="https://pubs.acs.org/doi/full/10.1021/acs.chemmater.9b05235" xr:uid="{E6488CEF-6B4F-4F5C-A4A2-1E026461AA8E}"/>
    <hyperlink ref="AA107" r:id="rId104" display="https://pubs.acs.org/doi/full/10.1021/acs.chemmater.9b05235" xr:uid="{1820C65C-4F97-4BE6-80C9-A1927775CE20}"/>
    <hyperlink ref="AA108" r:id="rId105" display="https://pubs.acs.org/doi/full/10.1021/acs.chemmater.9b05235" xr:uid="{980FD00B-139A-4CF8-886E-0E40F1FCA37E}"/>
    <hyperlink ref="AA109" r:id="rId106" display="https://pubs.acs.org/doi/full/10.1021/acs.chemmater.9b05235" xr:uid="{21A7D016-12D3-4099-847D-F46490266B18}"/>
    <hyperlink ref="AA110" r:id="rId107" display="https://pubs.acs.org/doi/full/10.1021/acs.chemmater.9b05235" xr:uid="{E49512C6-C442-435D-8ED3-543775F78FE2}"/>
    <hyperlink ref="AA111" r:id="rId108" display="https://pubs.acs.org/doi/10.1021/acsami.5c12102" xr:uid="{98E4BA04-5588-4446-8998-4A4562EABEA2}"/>
    <hyperlink ref="AA112" r:id="rId109" display="https://pubs.acs.org/doi/10.1021/acsami.5c12102" xr:uid="{BCC45C4D-A61F-49A7-A19A-1A97836912B2}"/>
    <hyperlink ref="AA113:AA124" r:id="rId110" display="https://pubs.acs.org/doi/10.1021/acsami.5c12102" xr:uid="{7FB07221-7BBA-4C3B-A6ED-8BEC84E06097}"/>
    <hyperlink ref="AA125" r:id="rId111" display="https://pubs.rsc.org/en/content/articlelanding/2015/ta/c5ta05118e" xr:uid="{149E2A2A-FB5D-41EA-B86A-ABFA40704EB4}"/>
    <hyperlink ref="AA126" r:id="rId112" display="https://pubs.rsc.org/en/content/articlelanding/2015/ta/c5ta05118e" xr:uid="{B5B49D27-C6C7-4CBA-8941-AD949CB5B819}"/>
    <hyperlink ref="AA127" r:id="rId113" display="https://pubs.rsc.org/en/content/articlelanding/2015/ta/c5ta05118e" xr:uid="{E3E52257-C497-4415-B262-1FED573460F6}"/>
    <hyperlink ref="AA129" r:id="rId114" display="https://www.sciencedirect.com/science/article/pii/S2095927318303700?__cf_chl_rt_tk=c4e6l_rGqaK.ZpttM_7_2zHCXkCrVBUGstIj.V_KlNY-1766020916-1.0.1.1-uqKkLmGdIadD2XkOgvLfUOtaz9obXNsWWOQIk4OqBMc" xr:uid="{9D1E38BB-0EC3-4B80-8A22-6F25472859AE}"/>
    <hyperlink ref="AA128" r:id="rId115" display="https://pubs.rsc.org/en/content/articlelanding/2015/ta/c5ta05118e" xr:uid="{DD569B90-48E0-48A8-8834-40324F6CA454}"/>
    <hyperlink ref="AA130" r:id="rId116" display="https://chemistry-europe.onlinelibrary.wiley.com/doi/full/10.1002/celc.201300071" xr:uid="{2616FF5A-FBB9-44CE-B06F-03EFFC25FDF0}"/>
    <hyperlink ref="AA131:AA133" r:id="rId117" display="https://pubs.acs.org/doi/10.1021/acsami.4c08082" xr:uid="{401572CD-AE40-4CD4-B6BB-D5BA1E7B3A09}"/>
  </hyperlinks>
  <printOptions horizontalCentered="1" gridLines="1"/>
  <pageMargins left="0.7" right="0.7" top="0.75" bottom="0.75" header="0" footer="0"/>
  <pageSetup scale="30" fitToHeight="0" pageOrder="overThenDown" orientation="landscape" cellComments="atEnd"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858D-BA5D-4BC4-9302-4DA43E9AFCAB}">
  <dimension ref="A1:R52"/>
  <sheetViews>
    <sheetView topLeftCell="F1" workbookViewId="0">
      <selection activeCell="N4" sqref="N4"/>
    </sheetView>
  </sheetViews>
  <sheetFormatPr defaultRowHeight="12.5" x14ac:dyDescent="0.25"/>
  <cols>
    <col min="2" max="2" width="11.453125" bestFit="1" customWidth="1"/>
    <col min="3" max="14" width="10.36328125" bestFit="1" customWidth="1"/>
  </cols>
  <sheetData>
    <row r="1" spans="1:18" ht="13.5" thickBot="1" x14ac:dyDescent="0.35">
      <c r="A1" s="161" t="s">
        <v>241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3"/>
    </row>
    <row r="2" spans="1:18" ht="50.5" thickBot="1" x14ac:dyDescent="0.3">
      <c r="A2" s="46" t="s">
        <v>242</v>
      </c>
      <c r="B2" s="47">
        <v>20</v>
      </c>
      <c r="C2" s="47">
        <v>25</v>
      </c>
      <c r="D2" s="47">
        <v>30</v>
      </c>
      <c r="E2" s="47">
        <v>40</v>
      </c>
      <c r="F2" s="47">
        <v>50</v>
      </c>
      <c r="G2" s="47">
        <v>100</v>
      </c>
      <c r="H2" s="47">
        <v>200</v>
      </c>
      <c r="I2" s="47">
        <v>300</v>
      </c>
      <c r="J2" s="47">
        <v>400</v>
      </c>
      <c r="K2" s="47">
        <v>500</v>
      </c>
      <c r="L2" s="47">
        <v>1000</v>
      </c>
      <c r="M2" s="47">
        <v>2000</v>
      </c>
      <c r="N2" s="47">
        <v>5000</v>
      </c>
      <c r="O2" s="48" t="s">
        <v>243</v>
      </c>
      <c r="P2" s="48" t="s">
        <v>14</v>
      </c>
      <c r="Q2" s="49" t="s">
        <v>244</v>
      </c>
      <c r="R2" s="50" t="s">
        <v>33</v>
      </c>
    </row>
    <row r="3" spans="1:18" x14ac:dyDescent="0.25">
      <c r="A3" s="43" t="s">
        <v>43</v>
      </c>
      <c r="B3" s="43"/>
      <c r="C3" s="43"/>
      <c r="D3" s="44">
        <v>272</v>
      </c>
      <c r="E3" s="43"/>
      <c r="F3" s="44">
        <v>250.7</v>
      </c>
      <c r="G3" s="44">
        <v>235.6</v>
      </c>
      <c r="H3" s="44">
        <v>220.3</v>
      </c>
      <c r="I3" s="43"/>
      <c r="J3" s="43"/>
      <c r="K3" s="44">
        <v>190</v>
      </c>
      <c r="L3" s="44">
        <v>161.30000000000001</v>
      </c>
      <c r="M3" s="44">
        <v>119.3</v>
      </c>
      <c r="N3" s="44">
        <v>46.1</v>
      </c>
      <c r="O3" s="44">
        <v>3.25</v>
      </c>
      <c r="P3" s="44">
        <v>3.99</v>
      </c>
      <c r="Q3" s="44">
        <v>57.4</v>
      </c>
      <c r="R3" s="45" t="s">
        <v>40</v>
      </c>
    </row>
    <row r="4" spans="1:18" x14ac:dyDescent="0.25">
      <c r="A4" s="43" t="s">
        <v>41</v>
      </c>
      <c r="B4" s="43"/>
      <c r="C4" s="43"/>
      <c r="D4" s="44">
        <v>299.39999999999998</v>
      </c>
      <c r="E4" s="43"/>
      <c r="F4" s="44">
        <v>288.5</v>
      </c>
      <c r="G4" s="44">
        <v>282.5</v>
      </c>
      <c r="H4" s="44">
        <v>272.5</v>
      </c>
      <c r="I4" s="43"/>
      <c r="J4" s="43"/>
      <c r="K4" s="44">
        <v>259.5</v>
      </c>
      <c r="L4" s="44">
        <v>242.4</v>
      </c>
      <c r="M4" s="44">
        <v>220.5</v>
      </c>
      <c r="N4" s="44">
        <v>136.6</v>
      </c>
      <c r="O4" s="44">
        <v>2.52</v>
      </c>
      <c r="P4" s="44">
        <v>3.73</v>
      </c>
      <c r="Q4" s="44">
        <v>3.2</v>
      </c>
      <c r="R4" s="43"/>
    </row>
    <row r="5" spans="1:18" x14ac:dyDescent="0.25">
      <c r="A5" s="43" t="s">
        <v>50</v>
      </c>
      <c r="B5" s="44">
        <v>258</v>
      </c>
      <c r="C5" s="43"/>
      <c r="D5" s="43"/>
      <c r="E5" s="43"/>
      <c r="F5" s="44">
        <v>234</v>
      </c>
      <c r="G5" s="44">
        <v>152</v>
      </c>
      <c r="H5" s="44">
        <v>72</v>
      </c>
      <c r="I5" s="43"/>
      <c r="J5" s="43"/>
      <c r="K5" s="43"/>
      <c r="L5" s="43"/>
      <c r="M5" s="43"/>
      <c r="N5" s="43"/>
      <c r="O5" s="43"/>
      <c r="P5" s="43"/>
      <c r="Q5" s="43"/>
      <c r="R5" s="45" t="s">
        <v>48</v>
      </c>
    </row>
    <row r="6" spans="1:18" ht="25" x14ac:dyDescent="0.25">
      <c r="A6" s="43" t="s">
        <v>68</v>
      </c>
      <c r="B6" s="43"/>
      <c r="C6" s="43"/>
      <c r="D6" s="43"/>
      <c r="E6" s="43"/>
      <c r="F6" s="44">
        <v>254.33</v>
      </c>
      <c r="G6" s="44">
        <v>229.16</v>
      </c>
      <c r="H6" s="44">
        <v>201.91</v>
      </c>
      <c r="I6" s="43"/>
      <c r="J6" s="43"/>
      <c r="K6" s="44">
        <v>141.69</v>
      </c>
      <c r="L6" s="44">
        <v>101.84</v>
      </c>
      <c r="M6" s="44">
        <v>81.81</v>
      </c>
      <c r="N6" s="44">
        <v>60.66</v>
      </c>
      <c r="O6" s="44">
        <v>0.41</v>
      </c>
      <c r="P6" s="44">
        <v>3.8129</v>
      </c>
      <c r="Q6" s="44">
        <v>9.0250000000000004</v>
      </c>
      <c r="R6" s="45" t="s">
        <v>245</v>
      </c>
    </row>
    <row r="7" spans="1:18" ht="25" x14ac:dyDescent="0.25">
      <c r="A7" s="43" t="s">
        <v>69</v>
      </c>
      <c r="B7" s="43"/>
      <c r="C7" s="43"/>
      <c r="D7" s="43"/>
      <c r="E7" s="43"/>
      <c r="F7" s="44">
        <v>339.21</v>
      </c>
      <c r="G7" s="44">
        <v>310.14</v>
      </c>
      <c r="H7" s="44">
        <v>262.82</v>
      </c>
      <c r="I7" s="43"/>
      <c r="J7" s="43"/>
      <c r="K7" s="44">
        <v>225.97</v>
      </c>
      <c r="L7" s="44">
        <v>150.18</v>
      </c>
      <c r="M7" s="44">
        <v>114.44</v>
      </c>
      <c r="N7" s="44">
        <v>94.45</v>
      </c>
      <c r="O7" s="44">
        <v>0.48</v>
      </c>
      <c r="P7" s="44">
        <v>3.7422</v>
      </c>
      <c r="Q7" s="44">
        <v>4.6920000000000002</v>
      </c>
      <c r="R7" s="43"/>
    </row>
    <row r="8" spans="1:18" ht="25" x14ac:dyDescent="0.25">
      <c r="A8" s="43" t="s">
        <v>246</v>
      </c>
      <c r="B8" s="43"/>
      <c r="C8" s="43"/>
      <c r="D8" s="43"/>
      <c r="E8" s="43"/>
      <c r="F8" s="43"/>
      <c r="G8" s="44">
        <v>346.8</v>
      </c>
      <c r="H8" s="44">
        <v>325.89999999999998</v>
      </c>
      <c r="I8" s="43"/>
      <c r="J8" s="43"/>
      <c r="K8" s="44">
        <v>313.5</v>
      </c>
      <c r="L8" s="44">
        <v>299.39999999999998</v>
      </c>
      <c r="M8" s="44">
        <v>271.60000000000002</v>
      </c>
      <c r="N8" s="44">
        <v>135</v>
      </c>
      <c r="O8" s="44">
        <v>3.12</v>
      </c>
      <c r="P8" s="44">
        <v>3.94</v>
      </c>
      <c r="Q8" s="44">
        <v>142.80000000000001</v>
      </c>
      <c r="R8" s="45" t="s">
        <v>114</v>
      </c>
    </row>
    <row r="9" spans="1:18" x14ac:dyDescent="0.25">
      <c r="A9" s="43" t="s">
        <v>142</v>
      </c>
      <c r="B9" s="44">
        <v>298.7</v>
      </c>
      <c r="C9" s="43"/>
      <c r="D9" s="43"/>
      <c r="E9" s="43"/>
      <c r="F9" s="44">
        <v>273.10000000000002</v>
      </c>
      <c r="G9" s="44">
        <v>236.5</v>
      </c>
      <c r="H9" s="44">
        <v>196.7</v>
      </c>
      <c r="I9" s="43"/>
      <c r="J9" s="43"/>
      <c r="K9" s="44">
        <v>146.69999999999999</v>
      </c>
      <c r="L9" s="44">
        <v>91.9</v>
      </c>
      <c r="M9" s="44">
        <v>61.5</v>
      </c>
      <c r="N9" s="44">
        <v>41.7</v>
      </c>
      <c r="O9" s="44">
        <v>1.02</v>
      </c>
      <c r="P9" s="44">
        <v>4.4000000000000004</v>
      </c>
      <c r="Q9" s="44">
        <v>1.86</v>
      </c>
      <c r="R9" s="45" t="s">
        <v>247</v>
      </c>
    </row>
    <row r="10" spans="1:18" x14ac:dyDescent="0.25">
      <c r="A10" s="43" t="s">
        <v>146</v>
      </c>
      <c r="B10" s="43"/>
      <c r="C10" s="43"/>
      <c r="D10" s="43"/>
      <c r="E10" s="43"/>
      <c r="F10" s="43"/>
      <c r="G10" s="44">
        <v>144</v>
      </c>
      <c r="H10" s="44">
        <v>125</v>
      </c>
      <c r="I10" s="43"/>
      <c r="J10" s="43"/>
      <c r="K10" s="44">
        <v>90</v>
      </c>
      <c r="L10" s="44">
        <v>77</v>
      </c>
      <c r="M10" s="44">
        <v>60</v>
      </c>
      <c r="N10" s="43"/>
      <c r="O10" s="44">
        <v>0.91</v>
      </c>
      <c r="P10" s="44">
        <v>3.35</v>
      </c>
      <c r="Q10" s="44">
        <v>1295.21</v>
      </c>
      <c r="R10" s="45" t="s">
        <v>148</v>
      </c>
    </row>
    <row r="11" spans="1:18" ht="25" x14ac:dyDescent="0.25">
      <c r="A11" s="43" t="s">
        <v>149</v>
      </c>
      <c r="B11" s="43"/>
      <c r="C11" s="43"/>
      <c r="D11" s="43"/>
      <c r="E11" s="43"/>
      <c r="F11" s="43"/>
      <c r="G11" s="44">
        <v>255</v>
      </c>
      <c r="H11" s="44">
        <v>220</v>
      </c>
      <c r="I11" s="43"/>
      <c r="J11" s="43"/>
      <c r="K11" s="44">
        <v>151</v>
      </c>
      <c r="L11" s="44">
        <v>109</v>
      </c>
      <c r="M11" s="44">
        <v>80</v>
      </c>
      <c r="N11" s="43"/>
      <c r="O11" s="44">
        <v>0.98</v>
      </c>
      <c r="P11" s="44">
        <v>3.67</v>
      </c>
      <c r="Q11" s="44">
        <v>111.58</v>
      </c>
      <c r="R11" s="43"/>
    </row>
    <row r="12" spans="1:18" ht="25" x14ac:dyDescent="0.25">
      <c r="A12" s="43" t="s">
        <v>155</v>
      </c>
      <c r="B12" s="43"/>
      <c r="C12" s="44">
        <v>345</v>
      </c>
      <c r="D12" s="43"/>
      <c r="E12" s="43"/>
      <c r="F12" s="44">
        <v>320</v>
      </c>
      <c r="G12" s="44">
        <v>302</v>
      </c>
      <c r="H12" s="44">
        <v>250</v>
      </c>
      <c r="I12" s="44">
        <v>179</v>
      </c>
      <c r="J12" s="43"/>
      <c r="K12" s="43"/>
      <c r="L12" s="43"/>
      <c r="M12" s="43"/>
      <c r="N12" s="43"/>
      <c r="O12" s="43"/>
      <c r="P12" s="43"/>
      <c r="Q12" s="43"/>
      <c r="R12" s="45" t="s">
        <v>152</v>
      </c>
    </row>
    <row r="13" spans="1:18" ht="25" x14ac:dyDescent="0.25">
      <c r="A13" s="43" t="s">
        <v>248</v>
      </c>
      <c r="B13" s="44">
        <v>235</v>
      </c>
      <c r="C13" s="43"/>
      <c r="D13" s="43"/>
      <c r="E13" s="44">
        <v>222</v>
      </c>
      <c r="F13" s="43"/>
      <c r="G13" s="44">
        <v>202</v>
      </c>
      <c r="H13" s="44">
        <v>181</v>
      </c>
      <c r="I13" s="43"/>
      <c r="J13" s="44">
        <v>155</v>
      </c>
      <c r="K13" s="43"/>
      <c r="L13" s="44">
        <v>112</v>
      </c>
      <c r="M13" s="44">
        <v>86</v>
      </c>
      <c r="N13" s="43"/>
      <c r="O13" s="44">
        <v>2.74</v>
      </c>
      <c r="P13" s="44">
        <v>3.85</v>
      </c>
      <c r="Q13" s="44">
        <v>196.3</v>
      </c>
      <c r="R13" s="45" t="s">
        <v>183</v>
      </c>
    </row>
    <row r="14" spans="1:18" x14ac:dyDescent="0.25">
      <c r="A14" s="43" t="s">
        <v>189</v>
      </c>
      <c r="B14" s="43"/>
      <c r="C14" s="43"/>
      <c r="D14" s="43"/>
      <c r="E14" s="43"/>
      <c r="F14" s="44">
        <v>292.3</v>
      </c>
      <c r="G14" s="44">
        <v>281.2</v>
      </c>
      <c r="H14" s="44">
        <v>266.5</v>
      </c>
      <c r="I14" s="43"/>
      <c r="J14" s="43"/>
      <c r="K14" s="44">
        <v>228.7</v>
      </c>
      <c r="L14" s="44">
        <v>183.4</v>
      </c>
      <c r="M14" s="44">
        <v>121.7</v>
      </c>
      <c r="N14" s="43"/>
      <c r="O14" s="44">
        <v>1.35</v>
      </c>
      <c r="P14" s="44">
        <v>3.84</v>
      </c>
      <c r="Q14" s="44">
        <v>22.167999999999999</v>
      </c>
      <c r="R14" s="45" t="s">
        <v>188</v>
      </c>
    </row>
    <row r="15" spans="1:18" ht="25" x14ac:dyDescent="0.25">
      <c r="A15" s="43" t="s">
        <v>198</v>
      </c>
      <c r="B15" s="43"/>
      <c r="C15" s="43"/>
      <c r="D15" s="43"/>
      <c r="E15" s="43"/>
      <c r="F15" s="43"/>
      <c r="G15" s="44">
        <v>305.5</v>
      </c>
      <c r="H15" s="44">
        <v>270.8</v>
      </c>
      <c r="I15" s="43"/>
      <c r="J15" s="43"/>
      <c r="K15" s="44">
        <v>233.4</v>
      </c>
      <c r="L15" s="44">
        <v>192</v>
      </c>
      <c r="M15" s="44">
        <v>167</v>
      </c>
      <c r="N15" s="44">
        <v>136.6</v>
      </c>
      <c r="O15" s="44">
        <v>1.05</v>
      </c>
      <c r="P15" s="44">
        <v>3.69</v>
      </c>
      <c r="Q15" s="44">
        <v>1988.9</v>
      </c>
      <c r="R15" s="45" t="s">
        <v>194</v>
      </c>
    </row>
    <row r="16" spans="1:18" ht="25" x14ac:dyDescent="0.25">
      <c r="A16" s="43" t="s">
        <v>196</v>
      </c>
      <c r="B16" s="43"/>
      <c r="C16" s="43"/>
      <c r="D16" s="43"/>
      <c r="E16" s="43"/>
      <c r="F16" s="43"/>
      <c r="G16" s="44">
        <v>264.60000000000002</v>
      </c>
      <c r="H16" s="44">
        <v>232.4</v>
      </c>
      <c r="I16" s="43"/>
      <c r="J16" s="43"/>
      <c r="K16" s="44">
        <v>198.2</v>
      </c>
      <c r="L16" s="44">
        <v>149.5</v>
      </c>
      <c r="M16" s="44">
        <v>105.3</v>
      </c>
      <c r="N16" s="44">
        <v>58.1</v>
      </c>
      <c r="O16" s="44">
        <v>1.69</v>
      </c>
      <c r="P16" s="44">
        <v>3.83</v>
      </c>
      <c r="Q16" s="44">
        <v>253.46</v>
      </c>
      <c r="R16" s="43"/>
    </row>
    <row r="17" spans="1:18" x14ac:dyDescent="0.25">
      <c r="A17" s="43" t="s">
        <v>274</v>
      </c>
      <c r="B17" s="43"/>
      <c r="C17" s="43"/>
      <c r="D17" s="43"/>
      <c r="E17" s="43"/>
      <c r="F17" s="43"/>
      <c r="G17" s="43">
        <v>231</v>
      </c>
      <c r="H17" s="43">
        <v>190</v>
      </c>
      <c r="I17" s="43"/>
      <c r="J17" s="43"/>
      <c r="K17" s="43">
        <v>139</v>
      </c>
      <c r="L17" s="43">
        <v>102</v>
      </c>
      <c r="M17" s="43">
        <v>75</v>
      </c>
      <c r="N17" s="43">
        <v>40</v>
      </c>
      <c r="O17" s="43"/>
      <c r="P17" s="43"/>
      <c r="Q17" s="43"/>
      <c r="R17" s="43"/>
    </row>
    <row r="18" spans="1:18" ht="13" thickBot="1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8" ht="13.5" thickBot="1" x14ac:dyDescent="0.35">
      <c r="A19" s="161" t="s">
        <v>249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3"/>
    </row>
    <row r="20" spans="1:18" ht="50.5" thickBot="1" x14ac:dyDescent="0.3">
      <c r="A20" s="46" t="s">
        <v>242</v>
      </c>
      <c r="B20" s="47" t="s">
        <v>250</v>
      </c>
      <c r="C20" s="47" t="s">
        <v>251</v>
      </c>
      <c r="D20" s="47" t="s">
        <v>252</v>
      </c>
      <c r="E20" s="47" t="s">
        <v>253</v>
      </c>
      <c r="F20" s="47" t="s">
        <v>254</v>
      </c>
      <c r="G20" s="47" t="s">
        <v>255</v>
      </c>
      <c r="H20" s="47" t="s">
        <v>256</v>
      </c>
      <c r="I20" s="47" t="s">
        <v>257</v>
      </c>
      <c r="J20" s="47" t="s">
        <v>258</v>
      </c>
      <c r="K20" s="47" t="s">
        <v>259</v>
      </c>
      <c r="L20" s="47" t="s">
        <v>260</v>
      </c>
      <c r="M20" s="47" t="s">
        <v>261</v>
      </c>
      <c r="N20" s="47" t="s">
        <v>262</v>
      </c>
      <c r="O20" s="48" t="s">
        <v>243</v>
      </c>
      <c r="P20" s="48" t="s">
        <v>14</v>
      </c>
      <c r="Q20" s="49" t="s">
        <v>244</v>
      </c>
      <c r="R20" s="50" t="s">
        <v>33</v>
      </c>
    </row>
    <row r="21" spans="1:18" ht="13" thickBot="1" x14ac:dyDescent="0.3">
      <c r="A21" s="51" t="s">
        <v>43</v>
      </c>
      <c r="B21" s="51"/>
      <c r="C21" s="51"/>
      <c r="D21" s="52">
        <v>1.1545000000000001</v>
      </c>
      <c r="E21" s="51"/>
      <c r="F21" s="52">
        <v>1.0641</v>
      </c>
      <c r="G21" s="52">
        <v>1</v>
      </c>
      <c r="H21" s="52">
        <v>0.93510000000000004</v>
      </c>
      <c r="I21" s="51"/>
      <c r="J21" s="51"/>
      <c r="K21" s="52">
        <v>0.80649999999999999</v>
      </c>
      <c r="L21" s="52">
        <v>0.68459999999999999</v>
      </c>
      <c r="M21" s="52">
        <v>0.50639999999999996</v>
      </c>
      <c r="N21" s="52">
        <v>0.19570000000000001</v>
      </c>
      <c r="O21" s="52">
        <v>3.25</v>
      </c>
      <c r="P21" s="52">
        <v>3.99</v>
      </c>
      <c r="Q21" s="52">
        <v>57.4</v>
      </c>
      <c r="R21" s="53" t="s">
        <v>40</v>
      </c>
    </row>
    <row r="22" spans="1:18" ht="13" thickBot="1" x14ac:dyDescent="0.3">
      <c r="A22" s="40" t="s">
        <v>42</v>
      </c>
      <c r="B22" s="40"/>
      <c r="C22" s="40"/>
      <c r="D22" s="41">
        <v>1.0598000000000001</v>
      </c>
      <c r="E22" s="40"/>
      <c r="F22" s="41">
        <v>1.0212000000000001</v>
      </c>
      <c r="G22" s="41">
        <v>1</v>
      </c>
      <c r="H22" s="41">
        <v>0.96460000000000001</v>
      </c>
      <c r="I22" s="40"/>
      <c r="J22" s="40"/>
      <c r="K22" s="41">
        <v>0.91859999999999997</v>
      </c>
      <c r="L22" s="41">
        <v>0.85809999999999997</v>
      </c>
      <c r="M22" s="41">
        <v>0.78049999999999997</v>
      </c>
      <c r="N22" s="41">
        <v>0.48349999999999999</v>
      </c>
      <c r="O22" s="41">
        <v>2.52</v>
      </c>
      <c r="P22" s="41">
        <v>3.73</v>
      </c>
      <c r="Q22" s="41">
        <v>3.2</v>
      </c>
      <c r="R22" s="40"/>
    </row>
    <row r="23" spans="1:18" ht="13" thickBot="1" x14ac:dyDescent="0.3">
      <c r="A23" s="40" t="s">
        <v>50</v>
      </c>
      <c r="B23" s="41">
        <v>1.6974</v>
      </c>
      <c r="C23" s="40"/>
      <c r="D23" s="40"/>
      <c r="E23" s="40"/>
      <c r="F23" s="41">
        <v>1.5395000000000001</v>
      </c>
      <c r="G23" s="41">
        <v>1</v>
      </c>
      <c r="H23" s="41">
        <v>0.47370000000000001</v>
      </c>
      <c r="I23" s="40"/>
      <c r="J23" s="40"/>
      <c r="K23" s="40"/>
      <c r="L23" s="40"/>
      <c r="M23" s="40"/>
      <c r="N23" s="40"/>
      <c r="O23" s="40"/>
      <c r="P23" s="40"/>
      <c r="Q23" s="40"/>
      <c r="R23" s="42" t="s">
        <v>48</v>
      </c>
    </row>
    <row r="24" spans="1:18" ht="25.5" thickBot="1" x14ac:dyDescent="0.3">
      <c r="A24" s="40" t="s">
        <v>68</v>
      </c>
      <c r="B24" s="40"/>
      <c r="C24" s="40"/>
      <c r="D24" s="40"/>
      <c r="E24" s="40"/>
      <c r="F24" s="41">
        <v>1.1097999999999999</v>
      </c>
      <c r="G24" s="41">
        <v>1</v>
      </c>
      <c r="H24" s="41">
        <v>0.88109999999999999</v>
      </c>
      <c r="I24" s="40"/>
      <c r="J24" s="40"/>
      <c r="K24" s="41">
        <v>0.61829999999999996</v>
      </c>
      <c r="L24" s="41">
        <v>0.44440000000000002</v>
      </c>
      <c r="M24" s="41">
        <v>0.35699999999999998</v>
      </c>
      <c r="N24" s="41">
        <v>0.26469999999999999</v>
      </c>
      <c r="O24" s="41">
        <v>0.41</v>
      </c>
      <c r="P24" s="41">
        <v>3.8129</v>
      </c>
      <c r="Q24" s="41">
        <v>9.0250000000000004</v>
      </c>
      <c r="R24" s="42" t="s">
        <v>245</v>
      </c>
    </row>
    <row r="25" spans="1:18" ht="25.5" thickBot="1" x14ac:dyDescent="0.3">
      <c r="A25" s="40" t="s">
        <v>69</v>
      </c>
      <c r="B25" s="40"/>
      <c r="C25" s="40"/>
      <c r="D25" s="40"/>
      <c r="E25" s="40"/>
      <c r="F25" s="41">
        <v>1.0936999999999999</v>
      </c>
      <c r="G25" s="41">
        <v>1</v>
      </c>
      <c r="H25" s="41">
        <v>0.84740000000000004</v>
      </c>
      <c r="I25" s="40"/>
      <c r="J25" s="40"/>
      <c r="K25" s="41">
        <v>0.72860000000000003</v>
      </c>
      <c r="L25" s="41">
        <v>0.48420000000000002</v>
      </c>
      <c r="M25" s="41">
        <v>0.36899999999999999</v>
      </c>
      <c r="N25" s="41">
        <v>0.30449999999999999</v>
      </c>
      <c r="O25" s="41">
        <v>0.48</v>
      </c>
      <c r="P25" s="41">
        <v>3.7422</v>
      </c>
      <c r="Q25" s="41">
        <v>4.6920000000000002</v>
      </c>
      <c r="R25" s="40"/>
    </row>
    <row r="26" spans="1:18" ht="25.5" thickBot="1" x14ac:dyDescent="0.3">
      <c r="A26" s="40" t="s">
        <v>246</v>
      </c>
      <c r="B26" s="40"/>
      <c r="C26" s="40"/>
      <c r="D26" s="40"/>
      <c r="E26" s="40"/>
      <c r="F26" s="40"/>
      <c r="G26" s="41">
        <v>1</v>
      </c>
      <c r="H26" s="41">
        <v>0.93969999999999998</v>
      </c>
      <c r="I26" s="40"/>
      <c r="J26" s="40"/>
      <c r="K26" s="41">
        <v>0.90400000000000003</v>
      </c>
      <c r="L26" s="41">
        <v>0.86329999999999996</v>
      </c>
      <c r="M26" s="41">
        <v>0.78320000000000001</v>
      </c>
      <c r="N26" s="41">
        <v>0.38929999999999998</v>
      </c>
      <c r="O26" s="41">
        <v>3.12</v>
      </c>
      <c r="P26" s="41">
        <v>3.94</v>
      </c>
      <c r="Q26" s="41">
        <v>142.80000000000001</v>
      </c>
      <c r="R26" s="42" t="s">
        <v>114</v>
      </c>
    </row>
    <row r="27" spans="1:18" ht="13" thickBot="1" x14ac:dyDescent="0.3">
      <c r="A27" s="40" t="s">
        <v>142</v>
      </c>
      <c r="B27" s="41">
        <v>1.2629999999999999</v>
      </c>
      <c r="C27" s="40"/>
      <c r="D27" s="40"/>
      <c r="E27" s="40"/>
      <c r="F27" s="41">
        <v>1.1548</v>
      </c>
      <c r="G27" s="41">
        <v>1</v>
      </c>
      <c r="H27" s="41">
        <v>0.83169999999999999</v>
      </c>
      <c r="I27" s="40"/>
      <c r="J27" s="40"/>
      <c r="K27" s="41">
        <v>0.62029999999999996</v>
      </c>
      <c r="L27" s="41">
        <v>0.3886</v>
      </c>
      <c r="M27" s="41">
        <v>0.26</v>
      </c>
      <c r="N27" s="41">
        <v>0.17630000000000001</v>
      </c>
      <c r="O27" s="41">
        <v>1.02</v>
      </c>
      <c r="P27" s="41">
        <v>4.4000000000000004</v>
      </c>
      <c r="Q27" s="41">
        <v>1.86</v>
      </c>
      <c r="R27" s="42" t="s">
        <v>247</v>
      </c>
    </row>
    <row r="28" spans="1:18" ht="13" thickBot="1" x14ac:dyDescent="0.3">
      <c r="A28" s="40" t="s">
        <v>146</v>
      </c>
      <c r="B28" s="40"/>
      <c r="C28" s="40"/>
      <c r="D28" s="40"/>
      <c r="E28" s="40"/>
      <c r="F28" s="40"/>
      <c r="G28" s="41">
        <v>1</v>
      </c>
      <c r="H28" s="41">
        <v>0.86809999999999998</v>
      </c>
      <c r="I28" s="40"/>
      <c r="J28" s="40"/>
      <c r="K28" s="41">
        <v>0.625</v>
      </c>
      <c r="L28" s="41">
        <v>0.53469999999999995</v>
      </c>
      <c r="M28" s="41">
        <v>0.41670000000000001</v>
      </c>
      <c r="N28" s="40"/>
      <c r="O28" s="41">
        <v>0.91</v>
      </c>
      <c r="P28" s="41">
        <v>3.35</v>
      </c>
      <c r="Q28" s="41">
        <v>1295.21</v>
      </c>
      <c r="R28" s="42" t="s">
        <v>148</v>
      </c>
    </row>
    <row r="29" spans="1:18" ht="25.5" thickBot="1" x14ac:dyDescent="0.3">
      <c r="A29" s="40" t="s">
        <v>149</v>
      </c>
      <c r="B29" s="40"/>
      <c r="C29" s="40"/>
      <c r="D29" s="40"/>
      <c r="E29" s="40"/>
      <c r="F29" s="40"/>
      <c r="G29" s="41">
        <v>1</v>
      </c>
      <c r="H29" s="41">
        <v>0.86270000000000002</v>
      </c>
      <c r="I29" s="40"/>
      <c r="J29" s="40"/>
      <c r="K29" s="41">
        <v>0.59219999999999995</v>
      </c>
      <c r="L29" s="41">
        <v>0.42749999999999999</v>
      </c>
      <c r="M29" s="41">
        <v>0.31369999999999998</v>
      </c>
      <c r="N29" s="40"/>
      <c r="O29" s="41">
        <v>0.98</v>
      </c>
      <c r="P29" s="41">
        <v>3.67</v>
      </c>
      <c r="Q29" s="41">
        <v>111.58</v>
      </c>
      <c r="R29" s="40"/>
    </row>
    <row r="30" spans="1:18" ht="25.5" thickBot="1" x14ac:dyDescent="0.3">
      <c r="A30" s="40" t="s">
        <v>155</v>
      </c>
      <c r="B30" s="40"/>
      <c r="C30" s="41">
        <v>1.1424000000000001</v>
      </c>
      <c r="D30" s="40"/>
      <c r="E30" s="40"/>
      <c r="F30" s="41">
        <v>1.0596000000000001</v>
      </c>
      <c r="G30" s="41">
        <v>1</v>
      </c>
      <c r="H30" s="41">
        <v>0.82779999999999998</v>
      </c>
      <c r="I30" s="41">
        <v>0.5927</v>
      </c>
      <c r="J30" s="40"/>
      <c r="K30" s="40"/>
      <c r="L30" s="40"/>
      <c r="M30" s="40"/>
      <c r="N30" s="40"/>
      <c r="O30" s="40"/>
      <c r="P30" s="40"/>
      <c r="Q30" s="40"/>
      <c r="R30" s="42" t="s">
        <v>152</v>
      </c>
    </row>
    <row r="31" spans="1:18" ht="25.5" thickBot="1" x14ac:dyDescent="0.3">
      <c r="A31" s="40" t="s">
        <v>248</v>
      </c>
      <c r="B31" s="41">
        <v>1.1634</v>
      </c>
      <c r="C31" s="40"/>
      <c r="D31" s="40"/>
      <c r="E31" s="41">
        <v>1.099</v>
      </c>
      <c r="F31" s="40"/>
      <c r="G31" s="41">
        <v>1</v>
      </c>
      <c r="H31" s="41">
        <v>0.89600000000000002</v>
      </c>
      <c r="I31" s="40"/>
      <c r="J31" s="41">
        <v>0.76729999999999998</v>
      </c>
      <c r="K31" s="40"/>
      <c r="L31" s="41">
        <v>0.55449999999999999</v>
      </c>
      <c r="M31" s="41">
        <v>0.42570000000000002</v>
      </c>
      <c r="N31" s="40"/>
      <c r="O31" s="41">
        <v>2.74</v>
      </c>
      <c r="P31" s="41">
        <v>3.85</v>
      </c>
      <c r="Q31" s="41">
        <v>196.3</v>
      </c>
      <c r="R31" s="42" t="s">
        <v>183</v>
      </c>
    </row>
    <row r="32" spans="1:18" ht="13" thickBot="1" x14ac:dyDescent="0.3">
      <c r="A32" s="40" t="s">
        <v>189</v>
      </c>
      <c r="B32" s="40"/>
      <c r="C32" s="40"/>
      <c r="D32" s="40"/>
      <c r="E32" s="40"/>
      <c r="F32" s="41">
        <v>1.0395000000000001</v>
      </c>
      <c r="G32" s="41">
        <v>1</v>
      </c>
      <c r="H32" s="41">
        <v>0.94769999999999999</v>
      </c>
      <c r="I32" s="40"/>
      <c r="J32" s="40"/>
      <c r="K32" s="41">
        <v>0.81330000000000002</v>
      </c>
      <c r="L32" s="41">
        <v>0.6522</v>
      </c>
      <c r="M32" s="41">
        <v>0.43280000000000002</v>
      </c>
      <c r="N32" s="40"/>
      <c r="O32" s="41">
        <v>1.35</v>
      </c>
      <c r="P32" s="41">
        <v>3.84</v>
      </c>
      <c r="Q32" s="41">
        <v>22.167999999999999</v>
      </c>
      <c r="R32" s="42" t="s">
        <v>188</v>
      </c>
    </row>
    <row r="33" spans="1:18" ht="25.5" thickBot="1" x14ac:dyDescent="0.3">
      <c r="A33" s="40" t="s">
        <v>198</v>
      </c>
      <c r="B33" s="40"/>
      <c r="C33" s="40"/>
      <c r="D33" s="40"/>
      <c r="E33" s="40"/>
      <c r="F33" s="40"/>
      <c r="G33" s="41">
        <v>1</v>
      </c>
      <c r="H33" s="41">
        <v>0.88639999999999997</v>
      </c>
      <c r="I33" s="40"/>
      <c r="J33" s="40"/>
      <c r="K33" s="41">
        <v>0.76400000000000001</v>
      </c>
      <c r="L33" s="41">
        <v>0.62849999999999995</v>
      </c>
      <c r="M33" s="41">
        <v>0.54659999999999997</v>
      </c>
      <c r="N33" s="41">
        <v>0.4471</v>
      </c>
      <c r="O33" s="41">
        <v>1.05</v>
      </c>
      <c r="P33" s="41">
        <v>3.69</v>
      </c>
      <c r="Q33" s="41">
        <v>1988.9</v>
      </c>
      <c r="R33" s="42" t="s">
        <v>194</v>
      </c>
    </row>
    <row r="34" spans="1:18" ht="25.5" thickBot="1" x14ac:dyDescent="0.3">
      <c r="A34" s="40" t="s">
        <v>196</v>
      </c>
      <c r="B34" s="40"/>
      <c r="C34" s="40"/>
      <c r="D34" s="40"/>
      <c r="E34" s="40"/>
      <c r="F34" s="40"/>
      <c r="G34" s="41">
        <v>1</v>
      </c>
      <c r="H34" s="41">
        <v>0.87829999999999997</v>
      </c>
      <c r="I34" s="40"/>
      <c r="J34" s="40"/>
      <c r="K34" s="41">
        <v>0.74909999999999999</v>
      </c>
      <c r="L34" s="41">
        <v>0.56499999999999995</v>
      </c>
      <c r="M34" s="41">
        <v>0.39800000000000002</v>
      </c>
      <c r="N34" s="41">
        <v>0.21959999999999999</v>
      </c>
      <c r="O34" s="41">
        <v>1.69</v>
      </c>
      <c r="P34" s="41">
        <v>3.83</v>
      </c>
      <c r="Q34" s="41">
        <v>253.46</v>
      </c>
      <c r="R34" s="40"/>
    </row>
    <row r="35" spans="1:18" ht="13" thickBot="1" x14ac:dyDescent="0.3"/>
    <row r="36" spans="1:18" ht="13.5" thickBot="1" x14ac:dyDescent="0.35">
      <c r="A36" s="161" t="s">
        <v>273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3"/>
    </row>
    <row r="37" spans="1:18" ht="50.5" thickBot="1" x14ac:dyDescent="0.3">
      <c r="A37" s="46" t="s">
        <v>242</v>
      </c>
      <c r="B37" s="47">
        <v>20</v>
      </c>
      <c r="C37" s="47">
        <v>25</v>
      </c>
      <c r="D37" s="47">
        <v>30</v>
      </c>
      <c r="E37" s="47">
        <v>40</v>
      </c>
      <c r="F37" s="47">
        <v>50</v>
      </c>
      <c r="G37" s="47">
        <v>100</v>
      </c>
      <c r="H37" s="47">
        <v>200</v>
      </c>
      <c r="I37" s="47">
        <v>300</v>
      </c>
      <c r="J37" s="47">
        <v>400</v>
      </c>
      <c r="K37" s="47">
        <v>500</v>
      </c>
      <c r="L37" s="47">
        <v>1000</v>
      </c>
      <c r="M37" s="47">
        <v>2000</v>
      </c>
      <c r="N37" s="47">
        <v>5000</v>
      </c>
      <c r="O37" s="48" t="s">
        <v>243</v>
      </c>
      <c r="P37" s="48" t="s">
        <v>14</v>
      </c>
      <c r="Q37" s="49" t="s">
        <v>244</v>
      </c>
      <c r="R37" s="50" t="s">
        <v>33</v>
      </c>
    </row>
    <row r="38" spans="1:18" ht="13.5" thickBot="1" x14ac:dyDescent="0.3">
      <c r="A38" s="46"/>
      <c r="B38" s="83">
        <f>LOG(B37)</f>
        <v>1.3010299956639813</v>
      </c>
      <c r="C38" s="83">
        <f t="shared" ref="C38:N38" si="0">LOG(C37)</f>
        <v>1.3979400086720377</v>
      </c>
      <c r="D38" s="83">
        <f t="shared" si="0"/>
        <v>1.4771212547196624</v>
      </c>
      <c r="E38" s="83">
        <f t="shared" si="0"/>
        <v>1.6020599913279623</v>
      </c>
      <c r="F38" s="83">
        <f t="shared" si="0"/>
        <v>1.6989700043360187</v>
      </c>
      <c r="G38" s="83">
        <f t="shared" si="0"/>
        <v>2</v>
      </c>
      <c r="H38" s="83">
        <f t="shared" si="0"/>
        <v>2.3010299956639813</v>
      </c>
      <c r="I38" s="83">
        <f t="shared" si="0"/>
        <v>2.4771212547196626</v>
      </c>
      <c r="J38" s="83">
        <f t="shared" si="0"/>
        <v>2.6020599913279625</v>
      </c>
      <c r="K38" s="83">
        <f t="shared" si="0"/>
        <v>2.6989700043360187</v>
      </c>
      <c r="L38" s="83">
        <f t="shared" si="0"/>
        <v>3</v>
      </c>
      <c r="M38" s="83">
        <f t="shared" si="0"/>
        <v>3.3010299956639813</v>
      </c>
      <c r="N38" s="83">
        <f t="shared" si="0"/>
        <v>3.6989700043360187</v>
      </c>
      <c r="O38" s="82"/>
      <c r="P38" s="82"/>
      <c r="Q38" s="82"/>
      <c r="R38" s="81"/>
    </row>
    <row r="39" spans="1:18" x14ac:dyDescent="0.25">
      <c r="A39" s="43" t="s">
        <v>43</v>
      </c>
      <c r="B39" s="43"/>
      <c r="C39" s="43"/>
      <c r="D39" s="44">
        <v>272</v>
      </c>
      <c r="E39" s="43"/>
      <c r="F39" s="44">
        <v>250.7</v>
      </c>
      <c r="G39" s="44">
        <v>235.6</v>
      </c>
      <c r="H39" s="44">
        <v>220.3</v>
      </c>
      <c r="I39" s="43"/>
      <c r="J39" s="43"/>
      <c r="K39" s="44">
        <v>190</v>
      </c>
      <c r="L39" s="44">
        <v>161.30000000000001</v>
      </c>
      <c r="M39" s="44">
        <v>119.3</v>
      </c>
      <c r="N39" s="44">
        <v>46.1</v>
      </c>
      <c r="O39" s="44">
        <v>3.25</v>
      </c>
      <c r="P39" s="44">
        <v>3.99</v>
      </c>
      <c r="Q39" s="44">
        <v>57.4</v>
      </c>
      <c r="R39" s="45" t="s">
        <v>40</v>
      </c>
    </row>
    <row r="40" spans="1:18" x14ac:dyDescent="0.25">
      <c r="A40" s="43" t="s">
        <v>41</v>
      </c>
      <c r="B40" s="43"/>
      <c r="C40" s="43"/>
      <c r="D40" s="44">
        <v>299.39999999999998</v>
      </c>
      <c r="E40" s="43"/>
      <c r="F40" s="44">
        <v>288.5</v>
      </c>
      <c r="G40" s="44">
        <v>282.5</v>
      </c>
      <c r="H40" s="44">
        <v>272.5</v>
      </c>
      <c r="I40" s="43"/>
      <c r="J40" s="43"/>
      <c r="K40" s="44">
        <v>259.5</v>
      </c>
      <c r="L40" s="44">
        <v>242.4</v>
      </c>
      <c r="M40" s="44">
        <v>220.5</v>
      </c>
      <c r="N40" s="44">
        <v>136.6</v>
      </c>
      <c r="O40" s="44">
        <v>2.52</v>
      </c>
      <c r="P40" s="44">
        <v>3.73</v>
      </c>
      <c r="Q40" s="44">
        <v>3.2</v>
      </c>
      <c r="R40" s="43"/>
    </row>
    <row r="41" spans="1:18" x14ac:dyDescent="0.25">
      <c r="A41" s="43" t="s">
        <v>50</v>
      </c>
      <c r="B41" s="44">
        <v>258</v>
      </c>
      <c r="C41" s="43"/>
      <c r="D41" s="43"/>
      <c r="E41" s="43"/>
      <c r="F41" s="44">
        <v>234</v>
      </c>
      <c r="G41" s="44">
        <v>152</v>
      </c>
      <c r="H41" s="44">
        <v>72</v>
      </c>
      <c r="I41" s="43"/>
      <c r="J41" s="43"/>
      <c r="K41" s="43"/>
      <c r="L41" s="43"/>
      <c r="M41" s="43"/>
      <c r="N41" s="43"/>
      <c r="O41" s="43"/>
      <c r="P41" s="43"/>
      <c r="Q41" s="43"/>
      <c r="R41" s="45" t="s">
        <v>48</v>
      </c>
    </row>
    <row r="42" spans="1:18" ht="25" x14ac:dyDescent="0.25">
      <c r="A42" s="43" t="s">
        <v>68</v>
      </c>
      <c r="B42" s="43"/>
      <c r="C42" s="43"/>
      <c r="D42" s="43"/>
      <c r="E42" s="43"/>
      <c r="F42" s="44">
        <v>254.33</v>
      </c>
      <c r="G42" s="44">
        <v>229.16</v>
      </c>
      <c r="H42" s="44">
        <v>201.91</v>
      </c>
      <c r="I42" s="43"/>
      <c r="J42" s="43"/>
      <c r="K42" s="44">
        <v>141.69</v>
      </c>
      <c r="L42" s="44">
        <v>101.84</v>
      </c>
      <c r="M42" s="44">
        <v>81.81</v>
      </c>
      <c r="N42" s="44">
        <v>60.66</v>
      </c>
      <c r="O42" s="44">
        <v>0.41</v>
      </c>
      <c r="P42" s="44">
        <v>3.8129</v>
      </c>
      <c r="Q42" s="44">
        <v>9.0250000000000004</v>
      </c>
      <c r="R42" s="45" t="s">
        <v>245</v>
      </c>
    </row>
    <row r="43" spans="1:18" ht="25" x14ac:dyDescent="0.25">
      <c r="A43" s="43" t="s">
        <v>69</v>
      </c>
      <c r="B43" s="43"/>
      <c r="C43" s="43"/>
      <c r="D43" s="43"/>
      <c r="E43" s="43"/>
      <c r="F43" s="44">
        <v>339.21</v>
      </c>
      <c r="G43" s="44">
        <v>310.14</v>
      </c>
      <c r="H43" s="44">
        <v>262.82</v>
      </c>
      <c r="I43" s="43"/>
      <c r="J43" s="43"/>
      <c r="K43" s="44">
        <v>225.97</v>
      </c>
      <c r="L43" s="44">
        <v>150.18</v>
      </c>
      <c r="M43" s="44">
        <v>114.44</v>
      </c>
      <c r="N43" s="44">
        <v>94.45</v>
      </c>
      <c r="O43" s="44">
        <v>0.48</v>
      </c>
      <c r="P43" s="44">
        <v>3.7422</v>
      </c>
      <c r="Q43" s="44">
        <v>4.6920000000000002</v>
      </c>
      <c r="R43" s="43"/>
    </row>
    <row r="44" spans="1:18" ht="25" x14ac:dyDescent="0.25">
      <c r="A44" s="43" t="s">
        <v>246</v>
      </c>
      <c r="B44" s="43"/>
      <c r="C44" s="43"/>
      <c r="D44" s="43"/>
      <c r="E44" s="43"/>
      <c r="F44" s="43"/>
      <c r="G44" s="44">
        <v>346.8</v>
      </c>
      <c r="H44" s="44">
        <v>325.89999999999998</v>
      </c>
      <c r="I44" s="43"/>
      <c r="J44" s="43"/>
      <c r="K44" s="44">
        <v>313.5</v>
      </c>
      <c r="L44" s="44">
        <v>299.39999999999998</v>
      </c>
      <c r="M44" s="44">
        <v>271.60000000000002</v>
      </c>
      <c r="N44" s="44">
        <v>135</v>
      </c>
      <c r="O44" s="44">
        <v>3.12</v>
      </c>
      <c r="P44" s="44">
        <v>3.94</v>
      </c>
      <c r="Q44" s="44">
        <v>142.80000000000001</v>
      </c>
      <c r="R44" s="45" t="s">
        <v>114</v>
      </c>
    </row>
    <row r="45" spans="1:18" x14ac:dyDescent="0.25">
      <c r="A45" s="43" t="s">
        <v>142</v>
      </c>
      <c r="B45" s="44">
        <v>298.7</v>
      </c>
      <c r="C45" s="43"/>
      <c r="D45" s="43"/>
      <c r="E45" s="43"/>
      <c r="F45" s="44">
        <v>273.10000000000002</v>
      </c>
      <c r="G45" s="44">
        <v>236.5</v>
      </c>
      <c r="H45" s="44">
        <v>196.7</v>
      </c>
      <c r="I45" s="43"/>
      <c r="J45" s="43"/>
      <c r="K45" s="44">
        <v>146.69999999999999</v>
      </c>
      <c r="L45" s="44">
        <v>91.9</v>
      </c>
      <c r="M45" s="44">
        <v>61.5</v>
      </c>
      <c r="N45" s="44">
        <v>41.7</v>
      </c>
      <c r="O45" s="44">
        <v>1.02</v>
      </c>
      <c r="P45" s="44">
        <v>4.4000000000000004</v>
      </c>
      <c r="Q45" s="44">
        <v>1.86</v>
      </c>
      <c r="R45" s="45" t="s">
        <v>247</v>
      </c>
    </row>
    <row r="46" spans="1:18" x14ac:dyDescent="0.25">
      <c r="A46" s="43" t="s">
        <v>146</v>
      </c>
      <c r="B46" s="43"/>
      <c r="C46" s="43"/>
      <c r="D46" s="43"/>
      <c r="E46" s="43"/>
      <c r="F46" s="43"/>
      <c r="G46" s="44">
        <v>144</v>
      </c>
      <c r="H46" s="44">
        <v>125</v>
      </c>
      <c r="I46" s="43"/>
      <c r="J46" s="43"/>
      <c r="K46" s="44">
        <v>90</v>
      </c>
      <c r="L46" s="44">
        <v>77</v>
      </c>
      <c r="M46" s="44">
        <v>60</v>
      </c>
      <c r="N46" s="43"/>
      <c r="O46" s="44">
        <v>0.91</v>
      </c>
      <c r="P46" s="44">
        <v>3.35</v>
      </c>
      <c r="Q46" s="44">
        <v>1295.21</v>
      </c>
      <c r="R46" s="45" t="s">
        <v>148</v>
      </c>
    </row>
    <row r="47" spans="1:18" ht="25" x14ac:dyDescent="0.25">
      <c r="A47" s="43" t="s">
        <v>149</v>
      </c>
      <c r="B47" s="43"/>
      <c r="C47" s="43"/>
      <c r="D47" s="43"/>
      <c r="E47" s="43"/>
      <c r="F47" s="43"/>
      <c r="G47" s="44">
        <v>255</v>
      </c>
      <c r="H47" s="44">
        <v>220</v>
      </c>
      <c r="I47" s="43"/>
      <c r="J47" s="43"/>
      <c r="K47" s="44">
        <v>151</v>
      </c>
      <c r="L47" s="44">
        <v>109</v>
      </c>
      <c r="M47" s="44">
        <v>80</v>
      </c>
      <c r="N47" s="43"/>
      <c r="O47" s="44">
        <v>0.98</v>
      </c>
      <c r="P47" s="44">
        <v>3.67</v>
      </c>
      <c r="Q47" s="44">
        <v>111.58</v>
      </c>
      <c r="R47" s="43"/>
    </row>
    <row r="48" spans="1:18" ht="25" x14ac:dyDescent="0.25">
      <c r="A48" s="43" t="s">
        <v>155</v>
      </c>
      <c r="B48" s="43"/>
      <c r="C48" s="44">
        <v>345</v>
      </c>
      <c r="D48" s="43"/>
      <c r="E48" s="43"/>
      <c r="F48" s="44">
        <v>320</v>
      </c>
      <c r="G48" s="44">
        <v>302</v>
      </c>
      <c r="H48" s="44">
        <v>250</v>
      </c>
      <c r="I48" s="44">
        <v>179</v>
      </c>
      <c r="J48" s="43"/>
      <c r="K48" s="43"/>
      <c r="L48" s="43"/>
      <c r="M48" s="43"/>
      <c r="N48" s="43"/>
      <c r="O48" s="43"/>
      <c r="P48" s="43"/>
      <c r="Q48" s="43"/>
      <c r="R48" s="45" t="s">
        <v>152</v>
      </c>
    </row>
    <row r="49" spans="1:18" ht="25" x14ac:dyDescent="0.25">
      <c r="A49" s="43" t="s">
        <v>248</v>
      </c>
      <c r="B49" s="44">
        <v>235</v>
      </c>
      <c r="C49" s="43"/>
      <c r="D49" s="43"/>
      <c r="E49" s="44">
        <v>222</v>
      </c>
      <c r="F49" s="43"/>
      <c r="G49" s="44">
        <v>202</v>
      </c>
      <c r="H49" s="44">
        <v>181</v>
      </c>
      <c r="I49" s="43"/>
      <c r="J49" s="44">
        <v>155</v>
      </c>
      <c r="K49" s="43"/>
      <c r="L49" s="44">
        <v>112</v>
      </c>
      <c r="M49" s="44">
        <v>86</v>
      </c>
      <c r="N49" s="43"/>
      <c r="O49" s="44">
        <v>2.74</v>
      </c>
      <c r="P49" s="44">
        <v>3.85</v>
      </c>
      <c r="Q49" s="44">
        <v>196.3</v>
      </c>
      <c r="R49" s="45" t="s">
        <v>183</v>
      </c>
    </row>
    <row r="50" spans="1:18" x14ac:dyDescent="0.25">
      <c r="A50" s="43" t="s">
        <v>189</v>
      </c>
      <c r="B50" s="43"/>
      <c r="C50" s="43"/>
      <c r="D50" s="43"/>
      <c r="E50" s="43"/>
      <c r="F50" s="44">
        <v>292.3</v>
      </c>
      <c r="G50" s="44">
        <v>281.2</v>
      </c>
      <c r="H50" s="44">
        <v>266.5</v>
      </c>
      <c r="I50" s="43"/>
      <c r="J50" s="43"/>
      <c r="K50" s="44">
        <v>228.7</v>
      </c>
      <c r="L50" s="44">
        <v>183.4</v>
      </c>
      <c r="M50" s="44">
        <v>121.7</v>
      </c>
      <c r="N50" s="43"/>
      <c r="O50" s="44">
        <v>1.35</v>
      </c>
      <c r="P50" s="44">
        <v>3.84</v>
      </c>
      <c r="Q50" s="44">
        <v>22.167999999999999</v>
      </c>
      <c r="R50" s="45" t="s">
        <v>188</v>
      </c>
    </row>
    <row r="51" spans="1:18" ht="25" x14ac:dyDescent="0.25">
      <c r="A51" s="43" t="s">
        <v>198</v>
      </c>
      <c r="B51" s="43"/>
      <c r="C51" s="43"/>
      <c r="D51" s="43"/>
      <c r="E51" s="43"/>
      <c r="F51" s="43"/>
      <c r="G51" s="44">
        <v>305.5</v>
      </c>
      <c r="H51" s="44">
        <v>270.8</v>
      </c>
      <c r="I51" s="43"/>
      <c r="J51" s="43"/>
      <c r="K51" s="44">
        <v>233.4</v>
      </c>
      <c r="L51" s="44">
        <v>192</v>
      </c>
      <c r="M51" s="44">
        <v>167</v>
      </c>
      <c r="N51" s="44">
        <v>136.6</v>
      </c>
      <c r="O51" s="44">
        <v>1.05</v>
      </c>
      <c r="P51" s="44">
        <v>3.69</v>
      </c>
      <c r="Q51" s="44">
        <v>1988.9</v>
      </c>
      <c r="R51" s="45" t="s">
        <v>194</v>
      </c>
    </row>
    <row r="52" spans="1:18" ht="25" x14ac:dyDescent="0.25">
      <c r="A52" s="43" t="s">
        <v>196</v>
      </c>
      <c r="B52" s="43"/>
      <c r="C52" s="43"/>
      <c r="D52" s="43"/>
      <c r="E52" s="43"/>
      <c r="F52" s="43"/>
      <c r="G52" s="44">
        <v>264.60000000000002</v>
      </c>
      <c r="H52" s="44">
        <v>232.4</v>
      </c>
      <c r="I52" s="43"/>
      <c r="J52" s="43"/>
      <c r="K52" s="44">
        <v>198.2</v>
      </c>
      <c r="L52" s="44">
        <v>149.5</v>
      </c>
      <c r="M52" s="44">
        <v>105.3</v>
      </c>
      <c r="N52" s="44">
        <v>58.1</v>
      </c>
      <c r="O52" s="44">
        <v>1.69</v>
      </c>
      <c r="P52" s="44">
        <v>3.83</v>
      </c>
      <c r="Q52" s="44">
        <v>253.46</v>
      </c>
      <c r="R52" s="43"/>
    </row>
  </sheetData>
  <mergeCells count="3">
    <mergeCell ref="A1:R1"/>
    <mergeCell ref="A19:R19"/>
    <mergeCell ref="A36:R36"/>
  </mergeCells>
  <hyperlinks>
    <hyperlink ref="R3" r:id="rId1" display="https://www.pnas.org/doi/full/10.1073/pnas.2111119118" xr:uid="{AB047077-C0EA-4564-933C-2D2ACCD08449}"/>
    <hyperlink ref="R5" r:id="rId2" display="https://iastate.app.box.com/file/1436314017403" xr:uid="{64870735-4971-4ADF-B4EE-E9D4C51E2503}"/>
    <hyperlink ref="R6" r:id="rId3" location="appsec1" display="https://www.sciencedirect.com/science/article/pii/S0378775317306328 - appsec1" xr:uid="{371C2A4C-021B-4345-8E23-8702ED969361}"/>
    <hyperlink ref="R8" r:id="rId4" location="s0070" display="https://www.sciencedirect.com/science/article/pii/S1385894722059149 - s0070" xr:uid="{BE1CA1BD-BFDD-41E8-84A9-8CF1A23469AE}"/>
    <hyperlink ref="R9" r:id="rId5" xr:uid="{94B2424F-7E8A-4D34-9360-053E024C276B}"/>
    <hyperlink ref="R10" r:id="rId6" display="https://link.springer.com/article/10.1007/s10008-016-3485-z" xr:uid="{8B4FC12E-C79D-41E6-BA66-4F1EBA2E57E3}"/>
    <hyperlink ref="R12" r:id="rId7" location="bib8" display="https://www.sciencedirect.com/science/article/pii/S0008622317308163?via%3Dihub - bib8" xr:uid="{F8947E78-7494-43B1-BE14-148C9B90BD9C}"/>
    <hyperlink ref="R13" r:id="rId8" display="https://chemistry-europe.onlinelibrary.wiley.com/doi/10.1002/celc.201500437" xr:uid="{69C5A5F9-F6E6-4399-8A50-F7D23EE2AEDE}"/>
    <hyperlink ref="R14" r:id="rId9" display="https://www.sciencedirect.com/science/article/pii/S0013468620314341" xr:uid="{478F7EE9-172C-4211-83EC-C016CD50AE02}"/>
    <hyperlink ref="R15" r:id="rId10" display="https://link.springer.com/article/10.1007/s10853-018-03229-2" xr:uid="{C4B6642E-EDB4-40F8-9FA3-7A2B8404463C}"/>
    <hyperlink ref="R21" r:id="rId11" display="https://www.pnas.org/doi/full/10.1073/pnas.2111119118" xr:uid="{681329F6-D39D-405C-84A0-7ADECF16AAC8}"/>
    <hyperlink ref="R23" r:id="rId12" display="https://iastate.app.box.com/file/1436314017403" xr:uid="{8EF8DB4A-CA8E-4694-A167-7EEA61016253}"/>
    <hyperlink ref="R24" r:id="rId13" location="appsec1" display="https://www.sciencedirect.com/science/article/pii/S0378775317306328 - appsec1" xr:uid="{32EC63B7-649C-42A4-8D9E-8A90D987FB30}"/>
    <hyperlink ref="R26" r:id="rId14" location="s0070" display="https://www.sciencedirect.com/science/article/pii/S1385894722059149 - s0070" xr:uid="{E272076C-A87B-468A-953D-F20373AEA5AE}"/>
    <hyperlink ref="R27" r:id="rId15" xr:uid="{566C1FC4-27B6-410B-9DCE-82927BEAF029}"/>
    <hyperlink ref="R28" r:id="rId16" display="https://link.springer.com/article/10.1007/s10008-016-3485-z" xr:uid="{F22DA6F8-F795-438E-938C-7CE6C75CE289}"/>
    <hyperlink ref="R30" r:id="rId17" location="bib8" display="https://www.sciencedirect.com/science/article/pii/S0008622317308163?via%3Dihub - bib8" xr:uid="{2EBEDC2A-3039-4D3A-93F5-DD39D2C157E4}"/>
    <hyperlink ref="R31" r:id="rId18" display="https://chemistry-europe.onlinelibrary.wiley.com/doi/10.1002/celc.201500437" xr:uid="{29476234-AAAF-4835-BF1D-8F8B283A7EFC}"/>
    <hyperlink ref="R32" r:id="rId19" display="https://www.sciencedirect.com/science/article/pii/S0013468620314341" xr:uid="{F5373849-300C-425A-919F-6B97DF2B71ED}"/>
    <hyperlink ref="R33" r:id="rId20" display="https://link.springer.com/article/10.1007/s10853-018-03229-2" xr:uid="{3323EAA0-BB4B-4681-B642-3D2C5E589F38}"/>
    <hyperlink ref="R39" r:id="rId21" display="https://www.pnas.org/doi/full/10.1073/pnas.2111119118" xr:uid="{D0CEE14B-539B-4DD9-9BD5-AF068B52289E}"/>
    <hyperlink ref="R41" r:id="rId22" display="https://iastate.app.box.com/file/1436314017403" xr:uid="{0D5051D8-1439-4953-B7F5-462308B7216C}"/>
    <hyperlink ref="R42" r:id="rId23" location="appsec1" display="https://www.sciencedirect.com/science/article/pii/S0378775317306328 - appsec1" xr:uid="{C6DF4E63-A3B9-4A40-B1AB-8C9F1FDDBE9A}"/>
    <hyperlink ref="R44" r:id="rId24" location="s0070" display="https://www.sciencedirect.com/science/article/pii/S1385894722059149 - s0070" xr:uid="{59675885-3614-44F2-9384-5BDABB613BEE}"/>
    <hyperlink ref="R45" r:id="rId25" xr:uid="{2430D0C1-6F93-4529-971B-783F4ADEA086}"/>
    <hyperlink ref="R46" r:id="rId26" display="https://link.springer.com/article/10.1007/s10008-016-3485-z" xr:uid="{D8BCB682-F4B3-4AFE-995A-772140616075}"/>
    <hyperlink ref="R48" r:id="rId27" location="bib8" display="https://www.sciencedirect.com/science/article/pii/S0008622317308163?via%3Dihub - bib8" xr:uid="{9B502733-AA33-4ACA-90BD-531061821846}"/>
    <hyperlink ref="R49" r:id="rId28" display="https://chemistry-europe.onlinelibrary.wiley.com/doi/10.1002/celc.201500437" xr:uid="{4384D02E-687A-4959-9ED2-6F302DA328F0}"/>
    <hyperlink ref="R50" r:id="rId29" display="https://www.sciencedirect.com/science/article/pii/S0013468620314341" xr:uid="{3FCA4F22-76C7-4496-A1DB-5D1B4CA47795}"/>
    <hyperlink ref="R51" r:id="rId30" display="https://link.springer.com/article/10.1007/s10853-018-03229-2" xr:uid="{3013C102-F9D7-4FD0-ADCE-C32A7959A56D}"/>
  </hyperlinks>
  <pageMargins left="0.7" right="0.7" top="0.75" bottom="0.75" header="0.3" footer="0.3"/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6F70-57D7-4782-8EC2-50003048E52C}">
  <sheetPr>
    <outlinePr summaryBelow="0" summaryRight="0"/>
    <pageSetUpPr fitToPage="1"/>
  </sheetPr>
  <dimension ref="A1:R978"/>
  <sheetViews>
    <sheetView zoomScaleNormal="100" workbookViewId="0">
      <pane xSplit="1" ySplit="3" topLeftCell="B100" activePane="bottomRight" state="frozen"/>
      <selection pane="topRight" activeCell="B1" sqref="B1"/>
      <selection pane="bottomLeft" activeCell="A4" sqref="A4"/>
      <selection pane="bottomRight" activeCell="Q4" sqref="Q4:Q133"/>
    </sheetView>
  </sheetViews>
  <sheetFormatPr defaultColWidth="12.54296875" defaultRowHeight="15.75" customHeight="1" x14ac:dyDescent="0.25"/>
  <cols>
    <col min="1" max="1" width="11.7265625" customWidth="1"/>
    <col min="15" max="15" width="9.1796875" customWidth="1"/>
    <col min="16" max="17" width="10.453125" customWidth="1"/>
  </cols>
  <sheetData>
    <row r="1" spans="1:18" ht="35.25" customHeight="1" x14ac:dyDescent="0.25">
      <c r="A1" s="115" t="s">
        <v>0</v>
      </c>
      <c r="B1" s="185" t="s">
        <v>283</v>
      </c>
      <c r="C1" s="188" t="s">
        <v>284</v>
      </c>
      <c r="D1" s="189"/>
      <c r="E1" s="190"/>
      <c r="F1" s="172" t="s">
        <v>279</v>
      </c>
      <c r="G1" s="173"/>
      <c r="H1" s="174"/>
      <c r="I1" s="165" t="s">
        <v>280</v>
      </c>
      <c r="J1" s="166"/>
      <c r="K1" s="167"/>
      <c r="L1" s="172" t="s">
        <v>281</v>
      </c>
      <c r="M1" s="173"/>
      <c r="N1" s="174"/>
      <c r="O1" s="178" t="s">
        <v>285</v>
      </c>
      <c r="P1" s="181" t="s">
        <v>287</v>
      </c>
      <c r="Q1" s="164" t="s">
        <v>297</v>
      </c>
    </row>
    <row r="2" spans="1:18" ht="16.5" customHeight="1" x14ac:dyDescent="0.25">
      <c r="A2" s="116"/>
      <c r="B2" s="186"/>
      <c r="C2" s="191"/>
      <c r="D2" s="192"/>
      <c r="E2" s="193"/>
      <c r="F2" s="175"/>
      <c r="G2" s="176"/>
      <c r="H2" s="177"/>
      <c r="I2" s="168"/>
      <c r="J2" s="169"/>
      <c r="K2" s="170"/>
      <c r="L2" s="175"/>
      <c r="M2" s="176"/>
      <c r="N2" s="177"/>
      <c r="O2" s="179"/>
      <c r="P2" s="182"/>
      <c r="Q2" s="164"/>
    </row>
    <row r="3" spans="1:18" ht="32.5" customHeight="1" thickBot="1" x14ac:dyDescent="0.3">
      <c r="A3" s="116"/>
      <c r="B3" s="187"/>
      <c r="C3" s="84" t="s">
        <v>282</v>
      </c>
      <c r="D3" s="90" t="s">
        <v>286</v>
      </c>
      <c r="E3" s="85" t="s">
        <v>278</v>
      </c>
      <c r="F3" s="86" t="s">
        <v>282</v>
      </c>
      <c r="G3" s="91" t="s">
        <v>286</v>
      </c>
      <c r="H3" s="87" t="s">
        <v>278</v>
      </c>
      <c r="I3" s="88" t="s">
        <v>282</v>
      </c>
      <c r="J3" s="92" t="s">
        <v>286</v>
      </c>
      <c r="K3" s="89" t="s">
        <v>278</v>
      </c>
      <c r="L3" s="86" t="s">
        <v>282</v>
      </c>
      <c r="M3" s="91" t="s">
        <v>286</v>
      </c>
      <c r="N3" s="87" t="s">
        <v>278</v>
      </c>
      <c r="O3" s="180"/>
      <c r="P3" s="183"/>
      <c r="Q3" s="164"/>
    </row>
    <row r="4" spans="1:18" ht="12.5" x14ac:dyDescent="0.25">
      <c r="A4" s="93" t="s">
        <v>34</v>
      </c>
      <c r="B4" s="9">
        <v>0.99872370411427802</v>
      </c>
      <c r="C4" s="9">
        <v>1344.9226000000001</v>
      </c>
      <c r="D4" s="9">
        <v>559.79240000000004</v>
      </c>
      <c r="E4" s="9">
        <v>83157.878299999997</v>
      </c>
      <c r="F4" s="9">
        <v>1595.1298999999999</v>
      </c>
      <c r="G4" s="9">
        <v>521.55439999999999</v>
      </c>
      <c r="H4" s="9">
        <v>36907.602899999998</v>
      </c>
      <c r="I4" s="9">
        <v>1550</v>
      </c>
      <c r="J4" s="9">
        <v>338.70069999999998</v>
      </c>
      <c r="K4" s="9">
        <v>65140.327499999999</v>
      </c>
      <c r="L4" s="9">
        <v>1250</v>
      </c>
      <c r="M4" s="9">
        <v>258.86369999999999</v>
      </c>
      <c r="N4" s="9">
        <v>80164.512300000002</v>
      </c>
      <c r="O4" s="103">
        <f t="shared" ref="O4:P7" si="0">D4/G4</f>
        <v>1.0733154585600275</v>
      </c>
      <c r="P4" s="103">
        <f t="shared" si="0"/>
        <v>2.2531368001686181</v>
      </c>
      <c r="Q4" s="103">
        <f>K4/H4</f>
        <v>1.7649568755926981</v>
      </c>
    </row>
    <row r="5" spans="1:18" ht="12.5" x14ac:dyDescent="0.25">
      <c r="A5" s="94" t="s">
        <v>41</v>
      </c>
      <c r="B5" s="9">
        <v>0.99848711218825603</v>
      </c>
      <c r="C5" s="9">
        <v>1344.0222000000001</v>
      </c>
      <c r="D5" s="9">
        <v>614.98540000000003</v>
      </c>
      <c r="E5" s="9">
        <v>78545.107799999998</v>
      </c>
      <c r="F5" s="9">
        <v>1593.2204999999999</v>
      </c>
      <c r="G5" s="9">
        <v>507.85500000000002</v>
      </c>
      <c r="H5" s="9">
        <v>43928.241800000003</v>
      </c>
      <c r="I5" s="9">
        <v>1534.2660000000001</v>
      </c>
      <c r="J5" s="9">
        <v>275.37200000000001</v>
      </c>
      <c r="K5" s="9">
        <v>54680.270700000001</v>
      </c>
      <c r="L5" s="9">
        <v>1250</v>
      </c>
      <c r="M5" s="9">
        <v>217.55670000000001</v>
      </c>
      <c r="N5" s="9">
        <v>65087.771099999998</v>
      </c>
      <c r="O5" s="103">
        <f t="shared" si="0"/>
        <v>1.2109468253733842</v>
      </c>
      <c r="P5" s="103">
        <f t="shared" si="0"/>
        <v>1.7880321310742737</v>
      </c>
      <c r="Q5" s="103">
        <f t="shared" ref="Q5:Q68" si="1">K5/H5</f>
        <v>1.2447634701373365</v>
      </c>
    </row>
    <row r="6" spans="1:18" ht="12.5" x14ac:dyDescent="0.25">
      <c r="A6" s="94" t="s">
        <v>42</v>
      </c>
      <c r="B6" s="9">
        <v>0.99786399300565998</v>
      </c>
      <c r="C6" s="9">
        <v>1346.1922</v>
      </c>
      <c r="D6" s="9">
        <v>631.07100000000003</v>
      </c>
      <c r="E6" s="9">
        <v>72533.364300000001</v>
      </c>
      <c r="F6" s="9">
        <v>1597.3586</v>
      </c>
      <c r="G6" s="9">
        <v>492.77379999999999</v>
      </c>
      <c r="H6" s="9">
        <v>39964.207300000002</v>
      </c>
      <c r="I6" s="9">
        <v>1550</v>
      </c>
      <c r="J6" s="9">
        <v>244.79480000000001</v>
      </c>
      <c r="K6" s="9">
        <v>48257.9738</v>
      </c>
      <c r="L6" s="9">
        <v>1270</v>
      </c>
      <c r="M6" s="9">
        <v>171.88800000000001</v>
      </c>
      <c r="N6" s="9">
        <v>58535.814200000001</v>
      </c>
      <c r="O6" s="103">
        <f t="shared" si="0"/>
        <v>1.2806504728944599</v>
      </c>
      <c r="P6" s="103">
        <f t="shared" si="0"/>
        <v>1.81495816382676</v>
      </c>
      <c r="Q6" s="103">
        <f t="shared" si="1"/>
        <v>1.2075298638539491</v>
      </c>
    </row>
    <row r="7" spans="1:18" ht="13" thickBot="1" x14ac:dyDescent="0.3">
      <c r="A7" s="95" t="s">
        <v>43</v>
      </c>
      <c r="B7" s="9">
        <v>0.99872009618853497</v>
      </c>
      <c r="C7" s="9">
        <v>1347.183</v>
      </c>
      <c r="D7" s="9">
        <v>503.57209999999998</v>
      </c>
      <c r="E7" s="9">
        <v>71278.482900000003</v>
      </c>
      <c r="F7" s="9">
        <v>1596.4779000000001</v>
      </c>
      <c r="G7" s="9">
        <v>422.36829999999998</v>
      </c>
      <c r="H7" s="9">
        <v>34412.838600000003</v>
      </c>
      <c r="I7" s="9">
        <v>1550</v>
      </c>
      <c r="J7" s="9">
        <v>288.75830000000002</v>
      </c>
      <c r="K7" s="9">
        <v>53526.387900000002</v>
      </c>
      <c r="L7" s="9">
        <v>1270</v>
      </c>
      <c r="M7" s="9">
        <v>200.72710000000001</v>
      </c>
      <c r="N7" s="9">
        <v>70321.408299999996</v>
      </c>
      <c r="O7" s="103">
        <f t="shared" si="0"/>
        <v>1.1922582731705955</v>
      </c>
      <c r="P7" s="103">
        <f t="shared" si="0"/>
        <v>2.0712758900394808</v>
      </c>
      <c r="Q7" s="103">
        <f t="shared" si="1"/>
        <v>1.5554191423197503</v>
      </c>
    </row>
    <row r="8" spans="1:18" ht="12.5" x14ac:dyDescent="0.25">
      <c r="A8" s="93" t="s">
        <v>44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3"/>
      <c r="P8" s="103"/>
      <c r="Q8" s="103"/>
      <c r="R8" s="171" t="s">
        <v>288</v>
      </c>
    </row>
    <row r="9" spans="1:18" ht="12.5" x14ac:dyDescent="0.25">
      <c r="A9" s="94" t="s">
        <v>49</v>
      </c>
      <c r="O9" s="103"/>
      <c r="P9" s="103"/>
      <c r="Q9" s="103"/>
      <c r="R9" s="184"/>
    </row>
    <row r="10" spans="1:18" ht="12.5" x14ac:dyDescent="0.25">
      <c r="A10" s="94" t="s">
        <v>50</v>
      </c>
      <c r="O10" s="103"/>
      <c r="P10" s="103"/>
      <c r="Q10" s="103"/>
      <c r="R10" s="184"/>
    </row>
    <row r="11" spans="1:18" ht="13" thickBot="1" x14ac:dyDescent="0.3">
      <c r="A11" s="95" t="s">
        <v>51</v>
      </c>
      <c r="O11" s="103"/>
      <c r="P11" s="103"/>
      <c r="Q11" s="103"/>
      <c r="R11" s="184"/>
    </row>
    <row r="12" spans="1:18" ht="13" thickBot="1" x14ac:dyDescent="0.3">
      <c r="A12" s="96" t="s">
        <v>52</v>
      </c>
      <c r="B12" s="9">
        <v>0.99770361484695202</v>
      </c>
      <c r="C12" s="9">
        <v>1352.2315000000001</v>
      </c>
      <c r="D12" s="9">
        <v>618.93910000000005</v>
      </c>
      <c r="E12" s="9">
        <v>142281.9167</v>
      </c>
      <c r="F12" s="9">
        <v>1612.5834</v>
      </c>
      <c r="G12" s="9">
        <v>365.81150000000002</v>
      </c>
      <c r="H12" s="9">
        <v>43473.982400000001</v>
      </c>
      <c r="I12" s="9">
        <v>1550</v>
      </c>
      <c r="J12" s="9">
        <v>300</v>
      </c>
      <c r="K12" s="9">
        <v>43623.935599999997</v>
      </c>
      <c r="L12" s="9">
        <v>1158.3581999999999</v>
      </c>
      <c r="M12" s="9">
        <v>75.637600000000006</v>
      </c>
      <c r="N12" s="9">
        <v>11392.2302</v>
      </c>
      <c r="O12" s="103">
        <f>D12/G12</f>
        <v>1.6919618437364599</v>
      </c>
      <c r="P12" s="103">
        <f>E12/H12</f>
        <v>3.2728061439340328</v>
      </c>
      <c r="Q12" s="103">
        <f t="shared" si="1"/>
        <v>1.0034492630240379</v>
      </c>
    </row>
    <row r="13" spans="1:18" ht="12.5" x14ac:dyDescent="0.25">
      <c r="A13" s="93" t="s">
        <v>58</v>
      </c>
      <c r="B13" s="9">
        <v>0.99115248415036705</v>
      </c>
      <c r="C13" s="9">
        <v>1346.5954999999999</v>
      </c>
      <c r="D13" s="9">
        <v>706.92190000000005</v>
      </c>
      <c r="E13" s="9">
        <v>65483.677499999998</v>
      </c>
      <c r="F13" s="9">
        <v>1599.9052999999999</v>
      </c>
      <c r="G13" s="9">
        <v>718.01940000000002</v>
      </c>
      <c r="H13" s="9">
        <v>69450.356</v>
      </c>
      <c r="I13" s="9">
        <v>1464.6871000000001</v>
      </c>
      <c r="J13" s="9">
        <v>170.8304</v>
      </c>
      <c r="K13" s="9">
        <v>37949.4012</v>
      </c>
      <c r="L13" s="9">
        <v>1270</v>
      </c>
      <c r="M13" s="9">
        <v>144.1831</v>
      </c>
      <c r="N13" s="9">
        <v>26813.2261</v>
      </c>
      <c r="O13" s="103">
        <f t="shared" ref="O13:O73" si="2">D13/G13</f>
        <v>0.98454428947184436</v>
      </c>
      <c r="P13" s="103">
        <f t="shared" ref="P13:P73" si="3">E13/H13</f>
        <v>0.94288469162058719</v>
      </c>
      <c r="Q13" s="103">
        <f t="shared" si="1"/>
        <v>0.54642486209861907</v>
      </c>
    </row>
    <row r="14" spans="1:18" ht="12.5" x14ac:dyDescent="0.25">
      <c r="A14" s="94" t="s">
        <v>61</v>
      </c>
      <c r="B14" s="9">
        <v>0.99226828205055295</v>
      </c>
      <c r="C14" s="9">
        <v>1348.5319999999999</v>
      </c>
      <c r="D14" s="9">
        <v>640.35059999999999</v>
      </c>
      <c r="E14" s="9">
        <v>60598.089099999997</v>
      </c>
      <c r="F14" s="9">
        <v>1600.2840000000001</v>
      </c>
      <c r="G14" s="9">
        <v>819.36080000000004</v>
      </c>
      <c r="H14" s="9">
        <v>85090.807199999996</v>
      </c>
      <c r="I14" s="9">
        <v>1450</v>
      </c>
      <c r="J14" s="9">
        <v>193.50839999999999</v>
      </c>
      <c r="K14" s="9">
        <v>42461.148999999998</v>
      </c>
      <c r="L14" s="9">
        <v>1270</v>
      </c>
      <c r="M14" s="9">
        <v>155.12440000000001</v>
      </c>
      <c r="N14" s="9">
        <v>25479.8992</v>
      </c>
      <c r="O14" s="103">
        <f t="shared" si="2"/>
        <v>0.78152457378971507</v>
      </c>
      <c r="P14" s="103">
        <f t="shared" si="3"/>
        <v>0.71215788278478098</v>
      </c>
      <c r="Q14" s="103">
        <f t="shared" si="1"/>
        <v>0.49900982723313503</v>
      </c>
    </row>
    <row r="15" spans="1:18" ht="12.5" x14ac:dyDescent="0.25">
      <c r="A15" s="94" t="s">
        <v>63</v>
      </c>
      <c r="B15" s="9">
        <v>0.989064934105232</v>
      </c>
      <c r="C15" s="9">
        <v>1345.8518999999999</v>
      </c>
      <c r="D15" s="9">
        <v>732.44110000000001</v>
      </c>
      <c r="E15" s="9">
        <v>77684.285600000003</v>
      </c>
      <c r="F15" s="9">
        <v>1597.4282000000001</v>
      </c>
      <c r="G15" s="9">
        <v>806.12419999999997</v>
      </c>
      <c r="H15" s="9">
        <v>82002.683699999994</v>
      </c>
      <c r="I15" s="9">
        <v>1480</v>
      </c>
      <c r="J15" s="9">
        <v>244.81370000000001</v>
      </c>
      <c r="K15" s="9">
        <v>49290.132400000002</v>
      </c>
      <c r="L15" s="9">
        <v>1250</v>
      </c>
      <c r="M15" s="9">
        <v>186.43289999999999</v>
      </c>
      <c r="N15" s="9">
        <v>35101.2618</v>
      </c>
      <c r="O15" s="103">
        <f t="shared" si="2"/>
        <v>0.90859584664497117</v>
      </c>
      <c r="P15" s="103">
        <f t="shared" si="3"/>
        <v>0.947338332050223</v>
      </c>
      <c r="Q15" s="103">
        <f t="shared" si="1"/>
        <v>0.60107950345044625</v>
      </c>
    </row>
    <row r="16" spans="1:18" ht="13" thickBot="1" x14ac:dyDescent="0.3">
      <c r="A16" s="95" t="s">
        <v>64</v>
      </c>
      <c r="B16">
        <v>0.98998980093558897</v>
      </c>
      <c r="C16" s="9">
        <v>1345.5808</v>
      </c>
      <c r="D16" s="9">
        <v>726.97400000000005</v>
      </c>
      <c r="E16" s="9">
        <v>71989.125499999995</v>
      </c>
      <c r="F16" s="9">
        <v>1598.2484999999999</v>
      </c>
      <c r="G16" s="9">
        <v>861.14380000000006</v>
      </c>
      <c r="H16" s="9">
        <v>87930.284</v>
      </c>
      <c r="I16" s="9">
        <v>1450.8802000000001</v>
      </c>
      <c r="J16" s="9">
        <v>215.71940000000001</v>
      </c>
      <c r="K16" s="9">
        <v>47658.907500000001</v>
      </c>
      <c r="L16" s="9">
        <v>1250</v>
      </c>
      <c r="M16" s="9">
        <v>171.68100000000001</v>
      </c>
      <c r="N16" s="9">
        <v>30576.942899999998</v>
      </c>
      <c r="O16" s="103">
        <f t="shared" si="2"/>
        <v>0.84419582420497019</v>
      </c>
      <c r="P16" s="103">
        <f t="shared" si="3"/>
        <v>0.81870684621011791</v>
      </c>
      <c r="Q16" s="103">
        <f t="shared" si="1"/>
        <v>0.54200788774888986</v>
      </c>
    </row>
    <row r="17" spans="1:17" ht="12.5" x14ac:dyDescent="0.25">
      <c r="A17" s="93" t="s">
        <v>65</v>
      </c>
      <c r="B17" s="9">
        <v>0.99961535562877402</v>
      </c>
      <c r="C17" s="9">
        <v>1354.8362</v>
      </c>
      <c r="D17" s="9">
        <v>460.51299999999998</v>
      </c>
      <c r="E17" s="9">
        <v>81070.473800000007</v>
      </c>
      <c r="F17" s="9">
        <v>1594.3693000000001</v>
      </c>
      <c r="G17" s="9">
        <v>468.27350000000001</v>
      </c>
      <c r="H17" s="9">
        <v>63069.880700000002</v>
      </c>
      <c r="I17" s="9">
        <v>1526.7982999999999</v>
      </c>
      <c r="J17" s="9">
        <v>349.46600000000001</v>
      </c>
      <c r="K17" s="9">
        <v>63092.157800000001</v>
      </c>
      <c r="L17" s="9">
        <v>1250</v>
      </c>
      <c r="M17" s="9">
        <v>236.5659</v>
      </c>
      <c r="N17" s="9">
        <v>75358.839900000006</v>
      </c>
      <c r="O17" s="103">
        <f t="shared" si="2"/>
        <v>0.98342742008676542</v>
      </c>
      <c r="P17" s="103">
        <f t="shared" si="3"/>
        <v>1.2854071214376026</v>
      </c>
      <c r="Q17" s="103">
        <f t="shared" si="1"/>
        <v>1.000353212971909</v>
      </c>
    </row>
    <row r="18" spans="1:17" ht="12.5" x14ac:dyDescent="0.25">
      <c r="A18" s="94" t="s">
        <v>68</v>
      </c>
      <c r="B18" s="9">
        <v>0.99946190705343996</v>
      </c>
      <c r="C18" s="9">
        <v>1355.7973</v>
      </c>
      <c r="D18" s="9">
        <v>646.82929999999999</v>
      </c>
      <c r="E18" s="9">
        <v>114533.7386</v>
      </c>
      <c r="F18" s="9">
        <v>1594.7455</v>
      </c>
      <c r="G18" s="9">
        <v>595.84109999999998</v>
      </c>
      <c r="H18" s="9">
        <v>80630.020300000004</v>
      </c>
      <c r="I18" s="9">
        <v>1524.2455</v>
      </c>
      <c r="J18" s="9">
        <v>385.79570000000001</v>
      </c>
      <c r="K18" s="9">
        <v>65378.539700000001</v>
      </c>
      <c r="L18" s="9">
        <v>1200</v>
      </c>
      <c r="M18" s="9">
        <v>182.38489999999999</v>
      </c>
      <c r="N18" s="9">
        <v>49943.1757</v>
      </c>
      <c r="O18" s="103">
        <f t="shared" si="2"/>
        <v>1.0855734859512041</v>
      </c>
      <c r="P18" s="103">
        <f t="shared" si="3"/>
        <v>1.4204850522653285</v>
      </c>
      <c r="Q18" s="103">
        <f t="shared" si="1"/>
        <v>0.81084612724573502</v>
      </c>
    </row>
    <row r="19" spans="1:17" ht="12.5" x14ac:dyDescent="0.25">
      <c r="A19" s="94" t="s">
        <v>69</v>
      </c>
      <c r="B19" s="9">
        <v>0.99847858412311896</v>
      </c>
      <c r="C19" s="9">
        <v>1343.9132</v>
      </c>
      <c r="D19" s="9">
        <v>1513.2215000000001</v>
      </c>
      <c r="E19" s="9">
        <v>200105.8296</v>
      </c>
      <c r="F19" s="9">
        <v>1590.1264000000001</v>
      </c>
      <c r="G19" s="9">
        <v>1538.8413</v>
      </c>
      <c r="H19" s="9">
        <v>174301.54329999999</v>
      </c>
      <c r="I19" s="9">
        <v>1502.337</v>
      </c>
      <c r="J19" s="9">
        <v>671.59469999999999</v>
      </c>
      <c r="K19" s="9">
        <v>121251.5696</v>
      </c>
      <c r="L19" s="9">
        <v>1230</v>
      </c>
      <c r="M19" s="9">
        <v>453.43279999999999</v>
      </c>
      <c r="N19" s="9">
        <v>132212.39009999999</v>
      </c>
      <c r="O19" s="103">
        <f t="shared" si="2"/>
        <v>0.98335123966324534</v>
      </c>
      <c r="P19" s="103">
        <f t="shared" si="3"/>
        <v>1.1480439347320455</v>
      </c>
      <c r="Q19" s="103">
        <f t="shared" si="1"/>
        <v>0.6956425474174216</v>
      </c>
    </row>
    <row r="20" spans="1:17" ht="13" thickBot="1" x14ac:dyDescent="0.3">
      <c r="A20" s="95" t="s">
        <v>70</v>
      </c>
      <c r="B20" s="9">
        <v>0.99713206663551301</v>
      </c>
      <c r="C20" s="9">
        <v>1344.1102000000001</v>
      </c>
      <c r="D20" s="9">
        <v>701.18920000000003</v>
      </c>
      <c r="E20" s="9">
        <v>81799.351699999999</v>
      </c>
      <c r="F20" s="9">
        <v>1591.7528</v>
      </c>
      <c r="G20" s="9">
        <v>756.06539999999995</v>
      </c>
      <c r="H20" s="9">
        <v>83723.897599999997</v>
      </c>
      <c r="I20" s="9">
        <v>1496.5036</v>
      </c>
      <c r="J20" s="9">
        <v>277.88810000000001</v>
      </c>
      <c r="K20" s="9">
        <v>52584.688999999998</v>
      </c>
      <c r="L20" s="9">
        <v>1250</v>
      </c>
      <c r="M20" s="9">
        <v>203.5933</v>
      </c>
      <c r="N20" s="9">
        <v>58529.983999999997</v>
      </c>
      <c r="O20" s="103">
        <f t="shared" si="2"/>
        <v>0.92741871271982568</v>
      </c>
      <c r="P20" s="103">
        <f t="shared" si="3"/>
        <v>0.97701318315118668</v>
      </c>
      <c r="Q20" s="103">
        <f t="shared" si="1"/>
        <v>0.62807263526154811</v>
      </c>
    </row>
    <row r="21" spans="1:17" ht="12.5" x14ac:dyDescent="0.25">
      <c r="A21" s="93" t="s">
        <v>71</v>
      </c>
      <c r="B21" s="9">
        <v>0.99292246403534801</v>
      </c>
      <c r="C21" s="9">
        <v>1343</v>
      </c>
      <c r="D21" s="9">
        <v>303.26369999999997</v>
      </c>
      <c r="E21" s="9">
        <v>47507.214999999997</v>
      </c>
      <c r="F21" s="9">
        <v>1593.546</v>
      </c>
      <c r="G21" s="9">
        <v>284.80599999999998</v>
      </c>
      <c r="H21" s="9">
        <v>29277.570599999999</v>
      </c>
      <c r="I21" s="9">
        <v>1509.6721</v>
      </c>
      <c r="J21" s="9">
        <v>130.31200000000001</v>
      </c>
      <c r="K21" s="9">
        <v>21805.548500000001</v>
      </c>
      <c r="L21" s="9">
        <v>1204.1735000000001</v>
      </c>
      <c r="M21" s="9">
        <v>68.351100000000002</v>
      </c>
      <c r="N21" s="9">
        <v>9850.1723999999995</v>
      </c>
      <c r="O21" s="103">
        <f t="shared" si="2"/>
        <v>1.0648079745510979</v>
      </c>
      <c r="P21" s="103">
        <f t="shared" si="3"/>
        <v>1.6226488067968317</v>
      </c>
      <c r="Q21" s="103">
        <f t="shared" si="1"/>
        <v>0.74478681301514826</v>
      </c>
    </row>
    <row r="22" spans="1:17" ht="12.5" x14ac:dyDescent="0.25">
      <c r="A22" s="94" t="s">
        <v>76</v>
      </c>
      <c r="B22" s="9">
        <v>0.98931998633468099</v>
      </c>
      <c r="C22" s="9">
        <v>1343.4007999999999</v>
      </c>
      <c r="D22" s="9">
        <v>245.11089999999999</v>
      </c>
      <c r="E22" s="9">
        <v>34604.027600000001</v>
      </c>
      <c r="F22" s="9">
        <v>1591.4916000000001</v>
      </c>
      <c r="G22" s="9">
        <v>221.334</v>
      </c>
      <c r="H22" s="9">
        <v>23732.129799999999</v>
      </c>
      <c r="I22" s="9">
        <v>1500</v>
      </c>
      <c r="J22" s="9">
        <v>90.507099999999994</v>
      </c>
      <c r="K22" s="9">
        <v>16327.925499999999</v>
      </c>
      <c r="L22" s="9">
        <v>1216.4896000000001</v>
      </c>
      <c r="M22" s="9">
        <v>34.709099999999999</v>
      </c>
      <c r="N22" s="9">
        <v>4340.2864</v>
      </c>
      <c r="O22" s="103">
        <f t="shared" si="2"/>
        <v>1.1074254294414776</v>
      </c>
      <c r="P22" s="103">
        <f t="shared" si="3"/>
        <v>1.458108812467392</v>
      </c>
      <c r="Q22" s="103">
        <f t="shared" si="1"/>
        <v>0.68800927845928095</v>
      </c>
    </row>
    <row r="23" spans="1:17" ht="12.5" x14ac:dyDescent="0.25">
      <c r="A23" s="94" t="s">
        <v>77</v>
      </c>
      <c r="B23" s="9">
        <v>0.98867999432452003</v>
      </c>
      <c r="C23" s="9">
        <v>1343</v>
      </c>
      <c r="D23" s="9">
        <v>315.74040000000002</v>
      </c>
      <c r="E23" s="9">
        <v>37667.1901</v>
      </c>
      <c r="F23" s="9">
        <v>1596.8639000000001</v>
      </c>
      <c r="G23" s="9">
        <v>270.20209999999997</v>
      </c>
      <c r="H23" s="9">
        <v>23828.6011</v>
      </c>
      <c r="I23" s="9">
        <v>1503.2991</v>
      </c>
      <c r="J23" s="9">
        <v>110.4773</v>
      </c>
      <c r="K23" s="9">
        <v>19422.7736</v>
      </c>
      <c r="L23" s="9">
        <v>1248.7743</v>
      </c>
      <c r="M23" s="9">
        <v>50.158099999999997</v>
      </c>
      <c r="N23" s="9">
        <v>6428.4546</v>
      </c>
      <c r="O23" s="103">
        <f t="shared" si="2"/>
        <v>1.1685342193861559</v>
      </c>
      <c r="P23" s="103">
        <f t="shared" si="3"/>
        <v>1.5807554099346603</v>
      </c>
      <c r="Q23" s="103">
        <f t="shared" si="1"/>
        <v>0.81510339270398879</v>
      </c>
    </row>
    <row r="24" spans="1:17" ht="12.5" x14ac:dyDescent="0.25">
      <c r="A24" s="94" t="s">
        <v>78</v>
      </c>
      <c r="B24" s="9">
        <v>0.98885932588404601</v>
      </c>
      <c r="C24" s="9">
        <v>1343</v>
      </c>
      <c r="D24" s="9">
        <v>323.74259999999998</v>
      </c>
      <c r="E24" s="9">
        <v>43576.856500000002</v>
      </c>
      <c r="F24" s="9">
        <v>1593.9594</v>
      </c>
      <c r="G24" s="9">
        <v>260.11259999999999</v>
      </c>
      <c r="H24" s="9">
        <v>25941.140800000001</v>
      </c>
      <c r="I24" s="9">
        <v>1520.7476999999999</v>
      </c>
      <c r="J24" s="9">
        <v>98.021199999999993</v>
      </c>
      <c r="K24" s="9">
        <v>16040.5448</v>
      </c>
      <c r="L24" s="9">
        <v>1211.7072000000001</v>
      </c>
      <c r="M24" s="9">
        <v>29.0335</v>
      </c>
      <c r="N24" s="9">
        <v>938.27750000000003</v>
      </c>
      <c r="O24" s="103">
        <f t="shared" si="2"/>
        <v>1.2446248278630101</v>
      </c>
      <c r="P24" s="103">
        <f t="shared" si="3"/>
        <v>1.6798357803909687</v>
      </c>
      <c r="Q24" s="103">
        <f t="shared" si="1"/>
        <v>0.61834384708324008</v>
      </c>
    </row>
    <row r="25" spans="1:17" ht="12.5" x14ac:dyDescent="0.25">
      <c r="A25" s="94" t="s">
        <v>79</v>
      </c>
      <c r="B25" s="9">
        <v>0.988025889930775</v>
      </c>
      <c r="C25" s="9">
        <v>1343</v>
      </c>
      <c r="D25" s="9">
        <v>376.19139999999999</v>
      </c>
      <c r="E25" s="9">
        <v>36152.358500000002</v>
      </c>
      <c r="F25" s="9">
        <v>1589.4458</v>
      </c>
      <c r="G25" s="9">
        <v>347.40159999999997</v>
      </c>
      <c r="H25" s="9">
        <v>34666.203500000003</v>
      </c>
      <c r="I25" s="9">
        <v>1457.7854</v>
      </c>
      <c r="J25" s="9">
        <v>82.579499999999996</v>
      </c>
      <c r="K25" s="9">
        <v>10918.402599999999</v>
      </c>
      <c r="L25" s="9">
        <v>1250</v>
      </c>
      <c r="M25" s="9">
        <v>49.139600000000002</v>
      </c>
      <c r="N25" s="9">
        <v>5083.3271999999997</v>
      </c>
      <c r="O25" s="103">
        <f t="shared" si="2"/>
        <v>1.0828718117590708</v>
      </c>
      <c r="P25" s="103">
        <f t="shared" si="3"/>
        <v>1.0428704285428889</v>
      </c>
      <c r="Q25" s="103">
        <f t="shared" si="1"/>
        <v>0.31495812917615851</v>
      </c>
    </row>
    <row r="26" spans="1:17" ht="12.5" x14ac:dyDescent="0.25">
      <c r="A26" s="94" t="s">
        <v>80</v>
      </c>
      <c r="B26" s="9">
        <v>0.99294668436304601</v>
      </c>
      <c r="C26" s="9">
        <v>1343</v>
      </c>
      <c r="D26" s="9">
        <v>384.16160000000002</v>
      </c>
      <c r="E26" s="9">
        <v>74832.437000000005</v>
      </c>
      <c r="F26" s="9">
        <v>1595.576</v>
      </c>
      <c r="G26" s="9">
        <v>372.13810000000001</v>
      </c>
      <c r="H26" s="9">
        <v>35473.766100000001</v>
      </c>
      <c r="I26" s="9">
        <v>1525</v>
      </c>
      <c r="J26" s="9">
        <v>146.09379999999999</v>
      </c>
      <c r="K26" s="9">
        <v>19675.592700000001</v>
      </c>
      <c r="L26" s="9">
        <v>1170.1058</v>
      </c>
      <c r="M26" s="9">
        <v>53.6357</v>
      </c>
      <c r="N26" s="9">
        <v>4224.7794000000004</v>
      </c>
      <c r="O26" s="103">
        <f t="shared" si="2"/>
        <v>1.0323092421872417</v>
      </c>
      <c r="P26" s="103">
        <f t="shared" si="3"/>
        <v>2.1095148676644175</v>
      </c>
      <c r="Q26" s="103">
        <f t="shared" si="1"/>
        <v>0.55465192628645088</v>
      </c>
    </row>
    <row r="27" spans="1:17" ht="12.5" x14ac:dyDescent="0.25">
      <c r="A27" s="94" t="s">
        <v>81</v>
      </c>
      <c r="B27" s="9">
        <v>0.99350671195165396</v>
      </c>
      <c r="C27" s="9">
        <v>1343</v>
      </c>
      <c r="D27" s="9">
        <v>266.28190000000001</v>
      </c>
      <c r="E27" s="9">
        <v>41684.762499999997</v>
      </c>
      <c r="F27" s="9">
        <v>1593.4794999999999</v>
      </c>
      <c r="G27" s="9">
        <v>243.52969999999999</v>
      </c>
      <c r="H27" s="9">
        <v>24587.9238</v>
      </c>
      <c r="I27" s="9">
        <v>1511.0352</v>
      </c>
      <c r="J27" s="9">
        <v>111.7732</v>
      </c>
      <c r="K27" s="9">
        <v>17799.6826</v>
      </c>
      <c r="L27" s="9">
        <v>1205.4389000000001</v>
      </c>
      <c r="M27" s="9">
        <v>36.062800000000003</v>
      </c>
      <c r="N27" s="9">
        <v>5482.0195000000003</v>
      </c>
      <c r="O27" s="103">
        <f t="shared" si="2"/>
        <v>1.0934267976349497</v>
      </c>
      <c r="P27" s="103">
        <f t="shared" si="3"/>
        <v>1.6953347846311446</v>
      </c>
      <c r="Q27" s="103">
        <f t="shared" si="1"/>
        <v>0.72391970728329647</v>
      </c>
    </row>
    <row r="28" spans="1:17" ht="12.5" x14ac:dyDescent="0.25">
      <c r="A28" s="94" t="s">
        <v>82</v>
      </c>
      <c r="B28" s="9">
        <v>0.99274292137096098</v>
      </c>
      <c r="C28" s="9">
        <v>1343</v>
      </c>
      <c r="D28" s="9">
        <v>349.90129999999999</v>
      </c>
      <c r="E28" s="9">
        <v>42815.080800000003</v>
      </c>
      <c r="F28" s="9">
        <v>1594.1694</v>
      </c>
      <c r="G28" s="9">
        <v>283.53750000000002</v>
      </c>
      <c r="H28" s="9">
        <v>28197.8253</v>
      </c>
      <c r="I28" s="9">
        <v>1501.723</v>
      </c>
      <c r="J28" s="9">
        <v>114.7426</v>
      </c>
      <c r="K28" s="9">
        <v>20827.468099999998</v>
      </c>
      <c r="L28" s="9">
        <v>1224.316</v>
      </c>
      <c r="M28" s="9">
        <v>58.918300000000002</v>
      </c>
      <c r="N28" s="9">
        <v>6784.3787000000002</v>
      </c>
      <c r="O28" s="103">
        <f t="shared" si="2"/>
        <v>1.2340565180972534</v>
      </c>
      <c r="P28" s="103">
        <f t="shared" si="3"/>
        <v>1.5183823697212566</v>
      </c>
      <c r="Q28" s="103">
        <f t="shared" si="1"/>
        <v>0.73861965872949775</v>
      </c>
    </row>
    <row r="29" spans="1:17" ht="12.5" x14ac:dyDescent="0.25">
      <c r="A29" s="94" t="s">
        <v>83</v>
      </c>
      <c r="B29" s="9">
        <v>0.98730231639391497</v>
      </c>
      <c r="C29" s="9">
        <v>1343</v>
      </c>
      <c r="D29" s="9">
        <v>404.53640000000001</v>
      </c>
      <c r="E29" s="9">
        <v>44240.508800000003</v>
      </c>
      <c r="F29" s="9">
        <v>1598.0225</v>
      </c>
      <c r="G29" s="9">
        <v>337.86869999999999</v>
      </c>
      <c r="H29" s="9">
        <v>32391.611499999999</v>
      </c>
      <c r="I29" s="9">
        <v>1493.2646999999999</v>
      </c>
      <c r="J29" s="9">
        <v>120.6091</v>
      </c>
      <c r="K29" s="9">
        <v>22567.474399999999</v>
      </c>
      <c r="L29" s="9">
        <v>1250</v>
      </c>
      <c r="M29" s="9">
        <v>85.144099999999995</v>
      </c>
      <c r="N29" s="9">
        <v>13140.9467</v>
      </c>
      <c r="O29" s="103">
        <f t="shared" si="2"/>
        <v>1.1973183665725768</v>
      </c>
      <c r="P29" s="103">
        <f t="shared" si="3"/>
        <v>1.3658014143569239</v>
      </c>
      <c r="Q29" s="103">
        <f t="shared" si="1"/>
        <v>0.69670736820241252</v>
      </c>
    </row>
    <row r="30" spans="1:17" ht="13" thickBot="1" x14ac:dyDescent="0.3">
      <c r="A30" s="95" t="s">
        <v>84</v>
      </c>
      <c r="B30" s="9">
        <v>0.979150536564242</v>
      </c>
      <c r="C30" s="9">
        <v>1343</v>
      </c>
      <c r="D30" s="9">
        <v>214.29900000000001</v>
      </c>
      <c r="E30" s="9">
        <v>25658.408800000001</v>
      </c>
      <c r="F30" s="9">
        <v>1592.9519</v>
      </c>
      <c r="G30" s="9">
        <v>160.9391</v>
      </c>
      <c r="H30" s="9">
        <v>16511.2225</v>
      </c>
      <c r="I30" s="9">
        <v>1506.3780999999999</v>
      </c>
      <c r="J30" s="9">
        <v>54.804900000000004</v>
      </c>
      <c r="K30" s="9">
        <v>9175.9652999999998</v>
      </c>
      <c r="L30" s="9">
        <v>1231.6352999999999</v>
      </c>
      <c r="M30" s="9">
        <v>15.9292</v>
      </c>
      <c r="N30" s="9">
        <v>1197.8579</v>
      </c>
      <c r="O30" s="103">
        <f t="shared" si="2"/>
        <v>1.3315533639743233</v>
      </c>
      <c r="P30" s="103">
        <f t="shared" si="3"/>
        <v>1.5539981246088834</v>
      </c>
      <c r="Q30" s="103">
        <f t="shared" si="1"/>
        <v>0.55574112092547967</v>
      </c>
    </row>
    <row r="31" spans="1:17" ht="12.5" x14ac:dyDescent="0.25">
      <c r="A31" s="93" t="s">
        <v>85</v>
      </c>
      <c r="B31" s="9">
        <v>0.99446305039607696</v>
      </c>
      <c r="C31" s="9">
        <v>1344.6982</v>
      </c>
      <c r="D31" s="9">
        <v>724.40629999999999</v>
      </c>
      <c r="E31" s="9">
        <v>90200.138699999996</v>
      </c>
      <c r="F31" s="9">
        <v>1590.2005999999999</v>
      </c>
      <c r="G31" s="9">
        <v>894.02940000000001</v>
      </c>
      <c r="H31" s="9">
        <v>102746.00659999999</v>
      </c>
      <c r="I31" s="9">
        <v>1498.0717</v>
      </c>
      <c r="J31" s="9">
        <v>220</v>
      </c>
      <c r="K31" s="9">
        <v>36506.775600000001</v>
      </c>
      <c r="L31" s="9">
        <v>1250</v>
      </c>
      <c r="M31" s="9">
        <v>190</v>
      </c>
      <c r="N31" s="9">
        <v>60023.254500000003</v>
      </c>
      <c r="O31" s="103">
        <f t="shared" si="2"/>
        <v>0.81027122821687969</v>
      </c>
      <c r="P31" s="103">
        <f t="shared" si="3"/>
        <v>0.87789435020241458</v>
      </c>
      <c r="Q31" s="103">
        <f t="shared" si="1"/>
        <v>0.35531089536281796</v>
      </c>
    </row>
    <row r="32" spans="1:17" ht="12.5" x14ac:dyDescent="0.25">
      <c r="A32" s="94" t="s">
        <v>89</v>
      </c>
      <c r="B32" s="9">
        <v>0.99461980836741004</v>
      </c>
      <c r="C32" s="9">
        <v>1349.8208</v>
      </c>
      <c r="D32" s="9">
        <v>740.06569999999999</v>
      </c>
      <c r="E32" s="9">
        <v>96915.303799999994</v>
      </c>
      <c r="F32" s="9">
        <v>1597.2136</v>
      </c>
      <c r="G32" s="9">
        <v>879.4393</v>
      </c>
      <c r="H32" s="9">
        <v>100898.7934</v>
      </c>
      <c r="I32" s="9">
        <v>1507.5354</v>
      </c>
      <c r="J32" s="9">
        <v>260</v>
      </c>
      <c r="K32" s="9">
        <v>42823.362800000003</v>
      </c>
      <c r="L32" s="9">
        <v>1250</v>
      </c>
      <c r="M32" s="9">
        <v>198.2731</v>
      </c>
      <c r="N32" s="9">
        <v>58098.723299999998</v>
      </c>
      <c r="O32" s="103">
        <f t="shared" si="2"/>
        <v>0.84151993207490272</v>
      </c>
      <c r="P32" s="103">
        <f t="shared" si="3"/>
        <v>0.96051994810078667</v>
      </c>
      <c r="Q32" s="103">
        <f t="shared" si="1"/>
        <v>0.42441897823527397</v>
      </c>
    </row>
    <row r="33" spans="1:17" ht="13" thickBot="1" x14ac:dyDescent="0.3">
      <c r="A33" s="95" t="s">
        <v>91</v>
      </c>
      <c r="B33" s="9">
        <v>0.99442312763926499</v>
      </c>
      <c r="C33" s="9">
        <v>1350.3232</v>
      </c>
      <c r="D33" s="9">
        <v>654.77340000000004</v>
      </c>
      <c r="E33" s="9">
        <v>82410.895999999993</v>
      </c>
      <c r="F33" s="9">
        <v>1597.3896999999999</v>
      </c>
      <c r="G33" s="9">
        <v>823.39689999999996</v>
      </c>
      <c r="H33" s="9">
        <v>91402.267900000006</v>
      </c>
      <c r="I33" s="9">
        <v>1503.1139000000001</v>
      </c>
      <c r="J33" s="9">
        <v>220</v>
      </c>
      <c r="K33" s="9">
        <v>36794.107499999998</v>
      </c>
      <c r="L33" s="9">
        <v>1250</v>
      </c>
      <c r="M33" s="9">
        <v>170.01499999999999</v>
      </c>
      <c r="N33" s="9">
        <v>49780.376199999999</v>
      </c>
      <c r="O33" s="103">
        <f t="shared" si="2"/>
        <v>0.79520994067381123</v>
      </c>
      <c r="P33" s="103">
        <f t="shared" si="3"/>
        <v>0.90162856889024723</v>
      </c>
      <c r="Q33" s="103">
        <f t="shared" si="1"/>
        <v>0.40255136273265268</v>
      </c>
    </row>
    <row r="34" spans="1:17" ht="12.5" x14ac:dyDescent="0.25">
      <c r="A34" s="93" t="s">
        <v>93</v>
      </c>
      <c r="B34" s="9">
        <v>0.99697382347028196</v>
      </c>
      <c r="C34" s="9">
        <v>1323.7011</v>
      </c>
      <c r="D34" s="9">
        <v>807.0942</v>
      </c>
      <c r="E34" s="9">
        <v>108637.8556</v>
      </c>
      <c r="F34" s="9">
        <v>1596.4903999999999</v>
      </c>
      <c r="G34" s="9">
        <v>797.56079999999997</v>
      </c>
      <c r="H34" s="9">
        <v>82759.070200000002</v>
      </c>
      <c r="I34" s="9">
        <v>1468.0758000000001</v>
      </c>
      <c r="J34" s="9">
        <v>333.57319999999999</v>
      </c>
      <c r="K34" s="9">
        <v>70119.019400000005</v>
      </c>
      <c r="L34" s="9">
        <v>1200</v>
      </c>
      <c r="M34" s="9">
        <v>295.44229999999999</v>
      </c>
      <c r="N34" s="9">
        <v>57795.835400000004</v>
      </c>
      <c r="O34" s="103">
        <f t="shared" si="2"/>
        <v>1.0119531952924468</v>
      </c>
      <c r="P34" s="103">
        <f t="shared" si="3"/>
        <v>1.3127002917923067</v>
      </c>
      <c r="Q34" s="103">
        <f t="shared" si="1"/>
        <v>0.84726688241598924</v>
      </c>
    </row>
    <row r="35" spans="1:17" ht="12.5" x14ac:dyDescent="0.25">
      <c r="A35" s="94" t="s">
        <v>97</v>
      </c>
      <c r="B35" s="9">
        <v>0.99665531981511502</v>
      </c>
      <c r="C35" s="9">
        <v>1330.0527999999999</v>
      </c>
      <c r="D35" s="9">
        <v>655.51480000000004</v>
      </c>
      <c r="E35" s="9">
        <v>95906.132199999993</v>
      </c>
      <c r="F35" s="9">
        <v>1593.8173999999999</v>
      </c>
      <c r="G35" s="9">
        <v>584.79179999999997</v>
      </c>
      <c r="H35" s="9">
        <v>67056.606899999999</v>
      </c>
      <c r="I35" s="9">
        <v>1494.0269000000001</v>
      </c>
      <c r="J35" s="9">
        <v>243.62299999999999</v>
      </c>
      <c r="K35" s="9">
        <v>45166.797100000003</v>
      </c>
      <c r="L35" s="9">
        <v>1200</v>
      </c>
      <c r="M35" s="9">
        <v>183.96969999999999</v>
      </c>
      <c r="N35" s="9">
        <v>38109.747900000002</v>
      </c>
      <c r="O35" s="103">
        <f t="shared" si="2"/>
        <v>1.1209370582829652</v>
      </c>
      <c r="P35" s="103">
        <f t="shared" si="3"/>
        <v>1.4302264405209562</v>
      </c>
      <c r="Q35" s="103">
        <f t="shared" si="1"/>
        <v>0.67356222135361288</v>
      </c>
    </row>
    <row r="36" spans="1:17" ht="13" thickBot="1" x14ac:dyDescent="0.3">
      <c r="A36" s="95" t="s">
        <v>98</v>
      </c>
      <c r="B36" s="9">
        <v>0.99390631572437005</v>
      </c>
      <c r="C36" s="9">
        <v>1325.4055000000001</v>
      </c>
      <c r="D36" s="9">
        <v>655.50220000000002</v>
      </c>
      <c r="E36" s="9">
        <v>79080.729000000007</v>
      </c>
      <c r="F36" s="9">
        <v>1595.4663</v>
      </c>
      <c r="G36" s="9">
        <v>595.65200000000004</v>
      </c>
      <c r="H36" s="9">
        <v>61976.3194</v>
      </c>
      <c r="I36" s="9">
        <v>1476.8396</v>
      </c>
      <c r="J36" s="9">
        <v>174.53399999999999</v>
      </c>
      <c r="K36" s="9">
        <v>35648.407500000001</v>
      </c>
      <c r="L36" s="9">
        <v>1197.3479</v>
      </c>
      <c r="M36" s="9">
        <v>140</v>
      </c>
      <c r="N36" s="9">
        <v>30081.034</v>
      </c>
      <c r="O36" s="103">
        <f t="shared" si="2"/>
        <v>1.100478467292983</v>
      </c>
      <c r="P36" s="103">
        <f t="shared" si="3"/>
        <v>1.2759829845590993</v>
      </c>
      <c r="Q36" s="103">
        <f t="shared" si="1"/>
        <v>0.57519400708393797</v>
      </c>
    </row>
    <row r="37" spans="1:17" ht="12.5" x14ac:dyDescent="0.25">
      <c r="A37" s="93" t="s">
        <v>99</v>
      </c>
      <c r="B37" s="9">
        <v>0.99900321902181199</v>
      </c>
      <c r="C37" s="9">
        <v>1352.1194</v>
      </c>
      <c r="D37" s="9">
        <v>618.26700000000005</v>
      </c>
      <c r="E37" s="9">
        <v>141083.38269999999</v>
      </c>
      <c r="F37" s="9">
        <v>1590.9965999999999</v>
      </c>
      <c r="G37" s="9">
        <v>561.38969999999995</v>
      </c>
      <c r="H37" s="9">
        <v>63021.871299999999</v>
      </c>
      <c r="I37" s="9">
        <v>1552.3936000000001</v>
      </c>
      <c r="J37" s="9">
        <v>361.08580000000001</v>
      </c>
      <c r="K37" s="9">
        <v>54352.779600000002</v>
      </c>
      <c r="L37" s="9">
        <v>1170.107</v>
      </c>
      <c r="M37" s="9">
        <v>132.4804</v>
      </c>
      <c r="N37" s="9">
        <v>22820.1315</v>
      </c>
      <c r="O37" s="103">
        <f t="shared" si="2"/>
        <v>1.1013151826618837</v>
      </c>
      <c r="P37" s="103">
        <f t="shared" si="3"/>
        <v>2.2386415983811001</v>
      </c>
      <c r="Q37" s="103">
        <f t="shared" si="1"/>
        <v>0.86244312456650274</v>
      </c>
    </row>
    <row r="38" spans="1:17" ht="12.5" x14ac:dyDescent="0.25">
      <c r="A38" s="94" t="s">
        <v>89</v>
      </c>
      <c r="B38" s="9">
        <v>0.999206784709882</v>
      </c>
      <c r="C38" s="9">
        <v>1352.1407999999999</v>
      </c>
      <c r="D38" s="9">
        <v>725.04240000000004</v>
      </c>
      <c r="E38" s="9">
        <v>155400.69279999999</v>
      </c>
      <c r="F38" s="9">
        <v>1590.5567000000001</v>
      </c>
      <c r="G38" s="9">
        <v>507.77850000000001</v>
      </c>
      <c r="H38" s="9">
        <v>59450.114500000003</v>
      </c>
      <c r="I38" s="9">
        <v>1545.0243</v>
      </c>
      <c r="J38" s="9">
        <v>468.59820000000002</v>
      </c>
      <c r="K38" s="9">
        <v>75667.463099999994</v>
      </c>
      <c r="L38" s="9">
        <v>1174.1206</v>
      </c>
      <c r="M38" s="9">
        <v>178.32</v>
      </c>
      <c r="N38" s="9">
        <v>41350.975899999998</v>
      </c>
      <c r="O38" s="103">
        <f t="shared" si="2"/>
        <v>1.4278714045592715</v>
      </c>
      <c r="P38" s="103">
        <f t="shared" si="3"/>
        <v>2.6139679310457842</v>
      </c>
      <c r="Q38" s="103">
        <f t="shared" si="1"/>
        <v>1.2727891903387334</v>
      </c>
    </row>
    <row r="39" spans="1:17" ht="13" thickBot="1" x14ac:dyDescent="0.3">
      <c r="A39" s="95" t="s">
        <v>91</v>
      </c>
      <c r="B39" s="9">
        <v>0.99772647026373296</v>
      </c>
      <c r="C39" s="9">
        <v>1347.7229</v>
      </c>
      <c r="D39" s="9">
        <v>600.5625</v>
      </c>
      <c r="E39" s="9">
        <v>94892.119600000005</v>
      </c>
      <c r="F39" s="9">
        <v>1589.7628</v>
      </c>
      <c r="G39" s="9">
        <v>739.74670000000003</v>
      </c>
      <c r="H39" s="9">
        <v>92182.691600000006</v>
      </c>
      <c r="I39" s="9">
        <v>1500</v>
      </c>
      <c r="J39" s="9">
        <v>490.96170000000001</v>
      </c>
      <c r="K39" s="9">
        <v>96237.437900000004</v>
      </c>
      <c r="L39" s="9">
        <v>1235.4435000000001</v>
      </c>
      <c r="M39" s="9">
        <v>338.35289999999998</v>
      </c>
      <c r="N39" s="9">
        <v>86743.041800000006</v>
      </c>
      <c r="O39" s="103">
        <f t="shared" si="2"/>
        <v>0.81184883960955823</v>
      </c>
      <c r="P39" s="103">
        <f t="shared" si="3"/>
        <v>1.0293919384753569</v>
      </c>
      <c r="Q39" s="103">
        <f t="shared" si="1"/>
        <v>1.0439859829391225</v>
      </c>
    </row>
    <row r="40" spans="1:17" ht="12.5" x14ac:dyDescent="0.25">
      <c r="A40" s="93" t="s">
        <v>105</v>
      </c>
      <c r="B40" s="9">
        <v>0.99844935998237205</v>
      </c>
      <c r="C40" s="9">
        <v>1345.3724999999999</v>
      </c>
      <c r="D40" s="9">
        <v>653.15729999999996</v>
      </c>
      <c r="E40" s="9">
        <v>110024.6835</v>
      </c>
      <c r="F40" s="9">
        <v>1594.2547999999999</v>
      </c>
      <c r="G40" s="9">
        <v>696.17309999999998</v>
      </c>
      <c r="H40" s="9">
        <v>69445.462499999994</v>
      </c>
      <c r="I40" s="9">
        <v>1519.1415</v>
      </c>
      <c r="J40" s="9">
        <v>359.9434</v>
      </c>
      <c r="K40" s="9">
        <v>61747.358999999997</v>
      </c>
      <c r="L40" s="9">
        <v>1207.5219999999999</v>
      </c>
      <c r="M40" s="9">
        <v>222.91919999999999</v>
      </c>
      <c r="N40" s="9">
        <v>48916.146000000001</v>
      </c>
      <c r="O40" s="103">
        <f t="shared" si="2"/>
        <v>0.93821105699142926</v>
      </c>
      <c r="P40" s="103">
        <f t="shared" si="3"/>
        <v>1.5843322160897122</v>
      </c>
      <c r="Q40" s="103">
        <f t="shared" si="1"/>
        <v>0.88914893467661771</v>
      </c>
    </row>
    <row r="41" spans="1:17" ht="13" thickBot="1" x14ac:dyDescent="0.3">
      <c r="A41" s="95" t="s">
        <v>108</v>
      </c>
      <c r="B41" s="9">
        <v>0.99680709795740796</v>
      </c>
      <c r="C41" s="9">
        <v>1337.0591999999999</v>
      </c>
      <c r="D41" s="9">
        <v>614.11149999999998</v>
      </c>
      <c r="E41" s="9">
        <v>91263.316999999995</v>
      </c>
      <c r="F41" s="9">
        <v>1595.3922</v>
      </c>
      <c r="G41" s="9">
        <v>755.70519999999999</v>
      </c>
      <c r="H41" s="9">
        <v>63513.977899999998</v>
      </c>
      <c r="I41" s="9">
        <v>1505.6650999999999</v>
      </c>
      <c r="J41" s="9">
        <v>259.77359999999999</v>
      </c>
      <c r="K41" s="9">
        <v>44049.556600000004</v>
      </c>
      <c r="L41" s="9">
        <v>1198.1407999999999</v>
      </c>
      <c r="M41" s="9">
        <v>207.6157</v>
      </c>
      <c r="N41" s="9">
        <v>40086.068800000001</v>
      </c>
      <c r="O41" s="103">
        <f t="shared" si="2"/>
        <v>0.81263368308170958</v>
      </c>
      <c r="P41" s="103">
        <f t="shared" si="3"/>
        <v>1.4369012935025125</v>
      </c>
      <c r="Q41" s="103">
        <f t="shared" si="1"/>
        <v>0.69354113939067275</v>
      </c>
    </row>
    <row r="42" spans="1:17" ht="12.5" x14ac:dyDescent="0.25">
      <c r="A42" s="93" t="s">
        <v>110</v>
      </c>
      <c r="B42" s="9">
        <v>0.997602243668259</v>
      </c>
      <c r="C42" s="9">
        <v>1339.0709999999999</v>
      </c>
      <c r="D42" s="9">
        <v>779.66890000000001</v>
      </c>
      <c r="E42" s="9">
        <v>129728.89079999999</v>
      </c>
      <c r="F42" s="9">
        <v>1592.1153999999999</v>
      </c>
      <c r="G42" s="9">
        <v>584.47059999999999</v>
      </c>
      <c r="H42" s="9">
        <v>57369.222000000002</v>
      </c>
      <c r="I42" s="9">
        <v>1529.2207000000001</v>
      </c>
      <c r="J42" s="9">
        <v>331.1635</v>
      </c>
      <c r="K42" s="9">
        <v>53669.600100000003</v>
      </c>
      <c r="L42" s="9">
        <v>1182.7723000000001</v>
      </c>
      <c r="M42" s="9">
        <v>122.14570000000001</v>
      </c>
      <c r="N42" s="9">
        <v>13433.410099999999</v>
      </c>
      <c r="O42" s="103">
        <f t="shared" si="2"/>
        <v>1.3339745403789345</v>
      </c>
      <c r="P42" s="103">
        <f t="shared" si="3"/>
        <v>2.2612977181388305</v>
      </c>
      <c r="Q42" s="103">
        <f t="shared" si="1"/>
        <v>0.93551207823595728</v>
      </c>
    </row>
    <row r="43" spans="1:17" ht="12.5" x14ac:dyDescent="0.25">
      <c r="A43" s="94" t="s">
        <v>115</v>
      </c>
      <c r="B43" s="9">
        <v>0.99465787384608095</v>
      </c>
      <c r="C43" s="9">
        <v>1349.3838000000001</v>
      </c>
      <c r="D43" s="9">
        <v>623.67510000000004</v>
      </c>
      <c r="E43" s="9">
        <v>85049.3986</v>
      </c>
      <c r="F43" s="9">
        <v>1601.7762</v>
      </c>
      <c r="G43" s="9">
        <v>504.37790000000001</v>
      </c>
      <c r="H43" s="9">
        <v>48424.033100000001</v>
      </c>
      <c r="I43" s="9">
        <v>1525.3453999999999</v>
      </c>
      <c r="J43" s="9">
        <v>216.2585</v>
      </c>
      <c r="K43" s="9">
        <v>36409.050199999998</v>
      </c>
      <c r="L43" s="9">
        <v>1214.3653999999999</v>
      </c>
      <c r="M43" s="9">
        <v>107.42570000000001</v>
      </c>
      <c r="N43" s="9">
        <v>14836.5389</v>
      </c>
      <c r="O43" s="103">
        <f t="shared" si="2"/>
        <v>1.2365234479940537</v>
      </c>
      <c r="P43" s="103">
        <f t="shared" si="3"/>
        <v>1.756346862401265</v>
      </c>
      <c r="Q43" s="103">
        <f t="shared" si="1"/>
        <v>0.7518797561700824</v>
      </c>
    </row>
    <row r="44" spans="1:17" ht="12.5" x14ac:dyDescent="0.25">
      <c r="A44" s="94" t="s">
        <v>116</v>
      </c>
      <c r="B44" s="9">
        <v>0.99291605098514302</v>
      </c>
      <c r="C44" s="9">
        <v>1342.653</v>
      </c>
      <c r="D44" s="9">
        <v>693.80150000000003</v>
      </c>
      <c r="E44" s="9">
        <v>72340.433000000005</v>
      </c>
      <c r="F44" s="9">
        <v>1589.8279</v>
      </c>
      <c r="G44" s="9">
        <v>639.06799999999998</v>
      </c>
      <c r="H44" s="9">
        <v>64071.791599999997</v>
      </c>
      <c r="I44" s="9">
        <v>1485.4881</v>
      </c>
      <c r="J44" s="9">
        <v>163.2253</v>
      </c>
      <c r="K44" s="9">
        <v>32262.286</v>
      </c>
      <c r="L44" s="9">
        <v>1249.9999</v>
      </c>
      <c r="M44" s="9">
        <v>125.6379</v>
      </c>
      <c r="N44" s="9">
        <v>20143.5834</v>
      </c>
      <c r="O44" s="103">
        <f t="shared" si="2"/>
        <v>1.0856458154687765</v>
      </c>
      <c r="P44" s="103">
        <f t="shared" si="3"/>
        <v>1.1290527577505731</v>
      </c>
      <c r="Q44" s="103">
        <f t="shared" si="1"/>
        <v>0.50353338332433961</v>
      </c>
    </row>
    <row r="45" spans="1:17" ht="13" thickBot="1" x14ac:dyDescent="0.3">
      <c r="A45" s="95" t="s">
        <v>117</v>
      </c>
      <c r="B45" s="9">
        <v>0.989611962002235</v>
      </c>
      <c r="C45" s="9">
        <v>1345.527</v>
      </c>
      <c r="D45" s="9">
        <v>730.7242</v>
      </c>
      <c r="E45" s="9">
        <v>64051.453200000004</v>
      </c>
      <c r="F45" s="9">
        <v>1598.8939</v>
      </c>
      <c r="G45" s="9">
        <v>561.57669999999996</v>
      </c>
      <c r="H45" s="9">
        <v>52556.465799999998</v>
      </c>
      <c r="I45" s="9">
        <v>1480</v>
      </c>
      <c r="J45" s="9">
        <v>88.3857</v>
      </c>
      <c r="K45" s="9">
        <v>19122.775399999999</v>
      </c>
      <c r="L45" s="9">
        <v>1250</v>
      </c>
      <c r="M45" s="9">
        <v>82.398799999999994</v>
      </c>
      <c r="N45" s="9">
        <v>12906.703299999999</v>
      </c>
      <c r="O45" s="103">
        <f t="shared" si="2"/>
        <v>1.3012010647877663</v>
      </c>
      <c r="P45" s="103">
        <f t="shared" si="3"/>
        <v>1.2187169023834934</v>
      </c>
      <c r="Q45" s="103">
        <f t="shared" si="1"/>
        <v>0.36385200391461631</v>
      </c>
    </row>
    <row r="46" spans="1:17" ht="12.5" x14ac:dyDescent="0.25">
      <c r="A46" s="93" t="s">
        <v>118</v>
      </c>
      <c r="B46" s="9">
        <v>0.99732587965008401</v>
      </c>
      <c r="C46" s="9">
        <v>1339.8861999999999</v>
      </c>
      <c r="D46" s="9">
        <v>509.75189999999998</v>
      </c>
      <c r="E46" s="9">
        <v>85988.881999999998</v>
      </c>
      <c r="F46" s="9">
        <v>1592.8649</v>
      </c>
      <c r="G46" s="9">
        <v>613.36170000000004</v>
      </c>
      <c r="H46" s="9">
        <v>76950.629100000006</v>
      </c>
      <c r="I46" s="9">
        <v>1500</v>
      </c>
      <c r="J46" s="9">
        <v>336.49220000000003</v>
      </c>
      <c r="K46" s="9">
        <v>64274.9856</v>
      </c>
      <c r="L46" s="9">
        <v>1243.8599999999999</v>
      </c>
      <c r="M46" s="9">
        <v>231.97399999999999</v>
      </c>
      <c r="N46" s="9">
        <v>80034.993700000006</v>
      </c>
      <c r="O46" s="103">
        <f t="shared" si="2"/>
        <v>0.83107879086679193</v>
      </c>
      <c r="P46" s="103">
        <f t="shared" si="3"/>
        <v>1.1174552177897659</v>
      </c>
      <c r="Q46" s="103">
        <f t="shared" si="1"/>
        <v>0.83527563519295511</v>
      </c>
    </row>
    <row r="47" spans="1:17" ht="12.5" x14ac:dyDescent="0.25">
      <c r="A47" s="94" t="s">
        <v>272</v>
      </c>
      <c r="B47" s="9">
        <v>0.99884314357059101</v>
      </c>
      <c r="C47" s="9">
        <v>1342.4255000000001</v>
      </c>
      <c r="D47" s="9">
        <v>587.19330000000002</v>
      </c>
      <c r="E47" s="9">
        <v>76318.376099999994</v>
      </c>
      <c r="F47" s="9">
        <v>1589.2299</v>
      </c>
      <c r="G47" s="9">
        <v>748.81089999999995</v>
      </c>
      <c r="H47" s="9">
        <v>87340.504300000001</v>
      </c>
      <c r="I47" s="9">
        <v>1500</v>
      </c>
      <c r="J47" s="9">
        <v>280.17250000000001</v>
      </c>
      <c r="K47" s="9">
        <v>51317.865899999997</v>
      </c>
      <c r="L47" s="9">
        <v>1276.7002</v>
      </c>
      <c r="M47" s="9">
        <v>263.39319999999998</v>
      </c>
      <c r="N47" s="9">
        <v>91738.811400000006</v>
      </c>
      <c r="O47" s="103">
        <f t="shared" si="2"/>
        <v>0.78416767170456525</v>
      </c>
      <c r="P47" s="103">
        <f t="shared" si="3"/>
        <v>0.87380278728250937</v>
      </c>
      <c r="Q47" s="103">
        <f t="shared" si="1"/>
        <v>0.58756090672125871</v>
      </c>
    </row>
    <row r="48" spans="1:17" ht="12.5" x14ac:dyDescent="0.25">
      <c r="A48" s="94" t="s">
        <v>121</v>
      </c>
      <c r="B48" s="9">
        <v>0.99141439141474796</v>
      </c>
      <c r="C48" s="9">
        <v>1337.3937000000001</v>
      </c>
      <c r="D48" s="9">
        <v>706.06809999999996</v>
      </c>
      <c r="E48" s="9">
        <v>74433.603499999997</v>
      </c>
      <c r="F48" s="9">
        <v>1588.6509000000001</v>
      </c>
      <c r="G48" s="9">
        <v>733.05650000000003</v>
      </c>
      <c r="H48" s="9">
        <v>72951.680600000007</v>
      </c>
      <c r="I48" s="9">
        <v>1484.9258</v>
      </c>
      <c r="J48" s="9">
        <v>112.20740000000001</v>
      </c>
      <c r="K48" s="9">
        <v>21166.788700000001</v>
      </c>
      <c r="L48" s="9">
        <v>1267.0415</v>
      </c>
      <c r="M48" s="9">
        <v>156.399</v>
      </c>
      <c r="N48" s="9">
        <v>58384.353799999997</v>
      </c>
      <c r="O48" s="103">
        <f t="shared" si="2"/>
        <v>0.96318373822481618</v>
      </c>
      <c r="P48" s="103">
        <f t="shared" si="3"/>
        <v>1.0203137595708796</v>
      </c>
      <c r="Q48" s="103">
        <f t="shared" si="1"/>
        <v>0.29014806137310561</v>
      </c>
    </row>
    <row r="49" spans="1:18" ht="12.5" x14ac:dyDescent="0.25">
      <c r="A49" s="94" t="s">
        <v>122</v>
      </c>
      <c r="B49" s="9">
        <v>0.99911157509493598</v>
      </c>
      <c r="C49" s="9">
        <v>1345.5109</v>
      </c>
      <c r="D49" s="9">
        <v>612.52930000000003</v>
      </c>
      <c r="E49" s="9">
        <v>96527.979000000007</v>
      </c>
      <c r="F49" s="9">
        <v>1591.8842999999999</v>
      </c>
      <c r="G49" s="9">
        <v>763.75670000000002</v>
      </c>
      <c r="H49" s="9">
        <v>96299.801000000007</v>
      </c>
      <c r="I49" s="9">
        <v>1500</v>
      </c>
      <c r="J49" s="9">
        <v>341.2996</v>
      </c>
      <c r="K49" s="9">
        <v>60467.240400000002</v>
      </c>
      <c r="L49" s="9">
        <v>1244.3888999999999</v>
      </c>
      <c r="M49" s="9">
        <v>283.99970000000002</v>
      </c>
      <c r="N49" s="9">
        <v>87842.019400000005</v>
      </c>
      <c r="O49" s="103">
        <f t="shared" si="2"/>
        <v>0.80199532128490658</v>
      </c>
      <c r="P49" s="103">
        <f t="shared" si="3"/>
        <v>1.0023694545329331</v>
      </c>
      <c r="Q49" s="103">
        <f t="shared" si="1"/>
        <v>0.62790618227757289</v>
      </c>
    </row>
    <row r="50" spans="1:18" ht="12.5" x14ac:dyDescent="0.25">
      <c r="A50" s="94" t="s">
        <v>123</v>
      </c>
      <c r="B50" s="9">
        <v>0.99658373580648996</v>
      </c>
      <c r="C50" s="9">
        <v>1343.5359000000001</v>
      </c>
      <c r="D50" s="9">
        <v>643.63469999999995</v>
      </c>
      <c r="E50" s="9">
        <v>81391.456200000001</v>
      </c>
      <c r="F50" s="9">
        <v>1590.9476999999999</v>
      </c>
      <c r="G50" s="9">
        <v>729.8723</v>
      </c>
      <c r="H50" s="9">
        <v>79168.003899999996</v>
      </c>
      <c r="I50" s="9">
        <v>1500</v>
      </c>
      <c r="J50" s="9">
        <v>248.995</v>
      </c>
      <c r="K50" s="9">
        <v>44764.535400000001</v>
      </c>
      <c r="L50" s="9">
        <v>1265.7646</v>
      </c>
      <c r="M50" s="9">
        <v>241.25790000000001</v>
      </c>
      <c r="N50" s="9">
        <v>72258.713900000002</v>
      </c>
      <c r="O50" s="103">
        <f t="shared" si="2"/>
        <v>0.88184563244830627</v>
      </c>
      <c r="P50" s="103">
        <f t="shared" si="3"/>
        <v>1.028085238865041</v>
      </c>
      <c r="Q50" s="103">
        <f t="shared" si="1"/>
        <v>0.56543721193910257</v>
      </c>
    </row>
    <row r="51" spans="1:18" ht="13" thickBot="1" x14ac:dyDescent="0.3">
      <c r="A51" s="95" t="s">
        <v>124</v>
      </c>
      <c r="B51" s="9">
        <v>0.99575752428161601</v>
      </c>
      <c r="C51" s="9">
        <v>1342.4059999999999</v>
      </c>
      <c r="D51" s="9">
        <v>578.91639999999995</v>
      </c>
      <c r="E51" s="9">
        <v>54906.256000000001</v>
      </c>
      <c r="F51" s="9">
        <v>1591.2519</v>
      </c>
      <c r="G51" s="9">
        <v>655.24879999999996</v>
      </c>
      <c r="H51" s="9">
        <v>71170.938099999999</v>
      </c>
      <c r="I51" s="9">
        <v>1475.2773999999999</v>
      </c>
      <c r="J51" s="9">
        <v>166.429</v>
      </c>
      <c r="K51" s="9">
        <v>34052.649100000002</v>
      </c>
      <c r="L51" s="9">
        <v>1290</v>
      </c>
      <c r="M51" s="9">
        <v>209.392</v>
      </c>
      <c r="N51" s="9">
        <v>62664.761400000003</v>
      </c>
      <c r="O51" s="103">
        <f t="shared" si="2"/>
        <v>0.88350623457837696</v>
      </c>
      <c r="P51" s="103">
        <f t="shared" si="3"/>
        <v>0.77147017400350948</v>
      </c>
      <c r="Q51" s="103">
        <f t="shared" si="1"/>
        <v>0.47846283903345099</v>
      </c>
    </row>
    <row r="52" spans="1:18" ht="12.5" x14ac:dyDescent="0.25">
      <c r="A52" s="93" t="s">
        <v>125</v>
      </c>
      <c r="B52" s="9">
        <v>0.99657975447408298</v>
      </c>
      <c r="C52" s="9">
        <v>1358</v>
      </c>
      <c r="D52" s="9">
        <v>882.91830000000004</v>
      </c>
      <c r="E52" s="9">
        <v>147286.80170000001</v>
      </c>
      <c r="F52" s="9">
        <v>1608.2371000000001</v>
      </c>
      <c r="G52" s="9">
        <v>735.67629999999997</v>
      </c>
      <c r="H52" s="9">
        <v>70362.612899999993</v>
      </c>
      <c r="I52" s="9">
        <v>1543.0554999999999</v>
      </c>
      <c r="J52" s="9">
        <v>412.41640000000001</v>
      </c>
      <c r="K52" s="9">
        <v>65515.032899999998</v>
      </c>
      <c r="L52" s="9">
        <v>1195.7137</v>
      </c>
      <c r="M52" s="9">
        <v>184.6961</v>
      </c>
      <c r="N52" s="9">
        <v>35988.637900000002</v>
      </c>
      <c r="O52" s="103">
        <f t="shared" si="2"/>
        <v>1.2001450909863483</v>
      </c>
      <c r="P52" s="103">
        <f t="shared" si="3"/>
        <v>2.0932537270798259</v>
      </c>
      <c r="Q52" s="103">
        <f t="shared" si="1"/>
        <v>0.9311057420950325</v>
      </c>
    </row>
    <row r="53" spans="1:18" ht="12.5" x14ac:dyDescent="0.25">
      <c r="A53" s="94" t="s">
        <v>128</v>
      </c>
      <c r="B53" s="9">
        <v>0.99452314827000998</v>
      </c>
      <c r="C53" s="9">
        <v>1359.0532000000001</v>
      </c>
      <c r="D53" s="9">
        <v>752.45180000000005</v>
      </c>
      <c r="E53" s="9">
        <v>98555.795400000003</v>
      </c>
      <c r="F53" s="9">
        <v>1605.1155000000001</v>
      </c>
      <c r="G53" s="9">
        <v>760.98490000000004</v>
      </c>
      <c r="H53" s="9">
        <v>73192.266000000003</v>
      </c>
      <c r="I53" s="9">
        <v>1526.9085</v>
      </c>
      <c r="J53" s="9">
        <v>327.45420000000001</v>
      </c>
      <c r="K53" s="9">
        <v>56409.619899999998</v>
      </c>
      <c r="L53" s="9">
        <v>1250</v>
      </c>
      <c r="M53" s="9">
        <v>190.2456</v>
      </c>
      <c r="N53" s="9">
        <v>45953.372499999998</v>
      </c>
      <c r="O53" s="103">
        <f t="shared" si="2"/>
        <v>0.98878676830512668</v>
      </c>
      <c r="P53" s="103">
        <f t="shared" si="3"/>
        <v>1.3465329164696171</v>
      </c>
      <c r="Q53" s="103">
        <f t="shared" si="1"/>
        <v>0.77070465204616012</v>
      </c>
    </row>
    <row r="54" spans="1:18" ht="13" thickBot="1" x14ac:dyDescent="0.3">
      <c r="A54" s="95" t="s">
        <v>129</v>
      </c>
      <c r="B54" s="9">
        <v>0.99047951958302005</v>
      </c>
      <c r="C54" s="9">
        <v>1353.6329000000001</v>
      </c>
      <c r="D54" s="9">
        <v>724.76409999999998</v>
      </c>
      <c r="E54" s="9">
        <v>75474.8652</v>
      </c>
      <c r="F54" s="9">
        <v>1604.0532000000001</v>
      </c>
      <c r="G54" s="9">
        <v>660.92039999999997</v>
      </c>
      <c r="H54" s="9">
        <v>61918.689400000003</v>
      </c>
      <c r="I54" s="9">
        <v>1506.2460000000001</v>
      </c>
      <c r="J54" s="9">
        <v>156.95689999999999</v>
      </c>
      <c r="K54" s="9">
        <v>29296.566599999998</v>
      </c>
      <c r="L54" s="9">
        <v>1250</v>
      </c>
      <c r="M54" s="9">
        <v>126.4298</v>
      </c>
      <c r="N54" s="9">
        <v>28715.463100000001</v>
      </c>
      <c r="O54" s="103">
        <f t="shared" si="2"/>
        <v>1.0965981682514263</v>
      </c>
      <c r="P54" s="103">
        <f t="shared" si="3"/>
        <v>1.2189351217114102</v>
      </c>
      <c r="Q54" s="103">
        <f t="shared" si="1"/>
        <v>0.47314578011723868</v>
      </c>
    </row>
    <row r="55" spans="1:18" ht="12.5" x14ac:dyDescent="0.25">
      <c r="A55" s="93" t="s">
        <v>130</v>
      </c>
      <c r="B55" s="9">
        <v>0.99581437249374305</v>
      </c>
      <c r="C55" s="9">
        <v>1334.7483</v>
      </c>
      <c r="D55" s="9">
        <v>900.13149999999996</v>
      </c>
      <c r="E55" s="9">
        <v>152741.61309999999</v>
      </c>
      <c r="F55" s="9">
        <v>1588.7833000000001</v>
      </c>
      <c r="G55" s="9">
        <v>724.73519999999996</v>
      </c>
      <c r="H55" s="9">
        <v>64925.319900000002</v>
      </c>
      <c r="I55" s="9">
        <v>1524.1488999999999</v>
      </c>
      <c r="J55" s="9">
        <v>367.2054</v>
      </c>
      <c r="K55" s="9">
        <v>55993.065000000002</v>
      </c>
      <c r="L55" s="9">
        <v>1174.4498000000001</v>
      </c>
      <c r="M55" s="9">
        <v>133.63810000000001</v>
      </c>
      <c r="N55" s="9">
        <v>14054.605299999999</v>
      </c>
      <c r="O55" s="103">
        <f t="shared" si="2"/>
        <v>1.2420143246802418</v>
      </c>
      <c r="P55" s="103">
        <f t="shared" si="3"/>
        <v>2.3525739008334092</v>
      </c>
      <c r="Q55" s="103">
        <f t="shared" si="1"/>
        <v>0.86242262781673251</v>
      </c>
    </row>
    <row r="56" spans="1:18" ht="12.5" x14ac:dyDescent="0.25">
      <c r="A56" s="94" t="s">
        <v>134</v>
      </c>
      <c r="B56" s="9">
        <v>0.99468495338318497</v>
      </c>
      <c r="C56" s="9">
        <v>1341.9036000000001</v>
      </c>
      <c r="D56" s="9">
        <v>492.8433</v>
      </c>
      <c r="E56" s="9">
        <v>70639.153200000001</v>
      </c>
      <c r="F56" s="9">
        <v>1586.7188000000001</v>
      </c>
      <c r="G56" s="9">
        <v>409.86540000000002</v>
      </c>
      <c r="H56" s="9">
        <v>38084.409800000001</v>
      </c>
      <c r="I56" s="9">
        <v>1514.3515</v>
      </c>
      <c r="J56" s="9">
        <v>186.5188</v>
      </c>
      <c r="K56" s="9">
        <v>29932.142800000001</v>
      </c>
      <c r="L56" s="9">
        <v>1215.4683</v>
      </c>
      <c r="M56" s="9">
        <v>99.813599999999994</v>
      </c>
      <c r="N56" s="9">
        <v>16145.6993</v>
      </c>
      <c r="O56" s="103">
        <f t="shared" si="2"/>
        <v>1.2024515853253286</v>
      </c>
      <c r="P56" s="103">
        <f t="shared" si="3"/>
        <v>1.8548049863700395</v>
      </c>
      <c r="Q56" s="103">
        <f t="shared" si="1"/>
        <v>0.78594214685716357</v>
      </c>
    </row>
    <row r="57" spans="1:18" ht="12.5" x14ac:dyDescent="0.25">
      <c r="A57" s="94" t="s">
        <v>135</v>
      </c>
      <c r="B57" s="9">
        <v>0.99420627768362602</v>
      </c>
      <c r="C57" s="9">
        <v>1342.1575</v>
      </c>
      <c r="D57" s="9">
        <v>533.93610000000001</v>
      </c>
      <c r="E57" s="9">
        <v>71082.562300000005</v>
      </c>
      <c r="F57" s="9">
        <v>1586.0878</v>
      </c>
      <c r="G57" s="9">
        <v>505.22669999999999</v>
      </c>
      <c r="H57" s="9">
        <v>48019.407500000001</v>
      </c>
      <c r="I57" s="9">
        <v>1516.3254999999999</v>
      </c>
      <c r="J57" s="9">
        <v>206.47659999999999</v>
      </c>
      <c r="K57" s="9">
        <v>33646.3125</v>
      </c>
      <c r="L57" s="9">
        <v>1250</v>
      </c>
      <c r="M57" s="9">
        <v>142.16839999999999</v>
      </c>
      <c r="N57" s="9">
        <v>36503.433700000001</v>
      </c>
      <c r="O57" s="103">
        <f t="shared" si="2"/>
        <v>1.0568247877635921</v>
      </c>
      <c r="P57" s="103">
        <f t="shared" si="3"/>
        <v>1.4802882001407451</v>
      </c>
      <c r="Q57" s="103">
        <f t="shared" si="1"/>
        <v>0.70068154214522538</v>
      </c>
    </row>
    <row r="58" spans="1:18" ht="13" thickBot="1" x14ac:dyDescent="0.3">
      <c r="A58" s="95" t="s">
        <v>136</v>
      </c>
      <c r="B58" s="9">
        <v>0.99154330896949905</v>
      </c>
      <c r="C58" s="9">
        <v>1335.7693999999999</v>
      </c>
      <c r="D58" s="9">
        <v>705.6037</v>
      </c>
      <c r="E58" s="9">
        <v>74897.907099999997</v>
      </c>
      <c r="F58" s="9">
        <v>1582.0417</v>
      </c>
      <c r="G58" s="9">
        <v>670.64940000000001</v>
      </c>
      <c r="H58" s="9">
        <v>63657.077700000002</v>
      </c>
      <c r="I58" s="9">
        <v>1485.5831000000001</v>
      </c>
      <c r="J58" s="9">
        <v>170.83099999999999</v>
      </c>
      <c r="K58" s="9">
        <v>31852.795699999999</v>
      </c>
      <c r="L58" s="9">
        <v>1250</v>
      </c>
      <c r="M58" s="9">
        <v>148.1773</v>
      </c>
      <c r="N58" s="9">
        <v>35049.634899999997</v>
      </c>
      <c r="O58" s="103">
        <f t="shared" si="2"/>
        <v>1.0521200794334566</v>
      </c>
      <c r="P58" s="103">
        <f t="shared" si="3"/>
        <v>1.1765841255386438</v>
      </c>
      <c r="Q58" s="103">
        <f t="shared" si="1"/>
        <v>0.50038105503545593</v>
      </c>
    </row>
    <row r="59" spans="1:18" ht="12.5" x14ac:dyDescent="0.25">
      <c r="A59" s="93" t="s">
        <v>137</v>
      </c>
      <c r="B59" s="9">
        <v>0.99907089687682804</v>
      </c>
      <c r="C59" s="9">
        <v>1348.8488</v>
      </c>
      <c r="D59" s="9">
        <v>703.65689999999995</v>
      </c>
      <c r="E59" s="9">
        <v>115271.4126</v>
      </c>
      <c r="F59" s="9">
        <v>1593.3022000000001</v>
      </c>
      <c r="G59" s="9">
        <v>730.70180000000005</v>
      </c>
      <c r="H59" s="9">
        <v>85597.453800000003</v>
      </c>
      <c r="I59" s="9">
        <v>1520.1569999999999</v>
      </c>
      <c r="J59" s="9">
        <v>488.67939999999999</v>
      </c>
      <c r="K59" s="9">
        <v>87487.847099999999</v>
      </c>
      <c r="L59" s="9">
        <v>1246.69</v>
      </c>
      <c r="M59" s="9">
        <v>368.49209999999999</v>
      </c>
      <c r="N59" s="9">
        <v>112152.57919999999</v>
      </c>
      <c r="O59" s="103">
        <f t="shared" si="2"/>
        <v>0.96298777421925041</v>
      </c>
      <c r="P59" s="103">
        <f t="shared" si="3"/>
        <v>1.3466687089704061</v>
      </c>
      <c r="Q59" s="103">
        <f t="shared" si="1"/>
        <v>1.0220846907948562</v>
      </c>
      <c r="R59" s="107" t="s">
        <v>289</v>
      </c>
    </row>
    <row r="60" spans="1:18" ht="12.5" x14ac:dyDescent="0.25">
      <c r="A60" s="94" t="s">
        <v>139</v>
      </c>
      <c r="B60" s="9">
        <v>0.99907317372947102</v>
      </c>
      <c r="C60" s="9">
        <v>1345.0101999999999</v>
      </c>
      <c r="D60" s="9">
        <v>755.48170000000005</v>
      </c>
      <c r="E60" s="9">
        <v>112746.4617</v>
      </c>
      <c r="F60" s="9">
        <v>1590.2918999999999</v>
      </c>
      <c r="G60" s="9">
        <v>925.09429999999998</v>
      </c>
      <c r="H60" s="9">
        <v>99572.694499999998</v>
      </c>
      <c r="I60" s="9">
        <v>1510.6759999999999</v>
      </c>
      <c r="J60" s="9">
        <v>489.44600000000003</v>
      </c>
      <c r="K60" s="9">
        <v>87767.750899999999</v>
      </c>
      <c r="L60" s="9">
        <v>1249.9836</v>
      </c>
      <c r="M60" s="9">
        <v>468.8886</v>
      </c>
      <c r="N60" s="9">
        <v>129953.768</v>
      </c>
      <c r="O60" s="103">
        <f t="shared" si="2"/>
        <v>0.81665371843713674</v>
      </c>
      <c r="P60" s="103">
        <f t="shared" si="3"/>
        <v>1.1323030100385603</v>
      </c>
      <c r="Q60" s="103">
        <f t="shared" si="1"/>
        <v>0.88144396755277121</v>
      </c>
      <c r="R60" s="107" t="s">
        <v>289</v>
      </c>
    </row>
    <row r="61" spans="1:18" ht="12.5" x14ac:dyDescent="0.25">
      <c r="A61" s="94" t="s">
        <v>140</v>
      </c>
      <c r="B61" s="9">
        <v>0.99954802570825296</v>
      </c>
      <c r="C61" s="9">
        <v>1343.9963</v>
      </c>
      <c r="D61" s="9">
        <v>734.51859999999999</v>
      </c>
      <c r="E61" s="9">
        <v>114832.8927</v>
      </c>
      <c r="F61" s="9">
        <v>1589.7195999999999</v>
      </c>
      <c r="G61" s="9">
        <v>858.59760000000006</v>
      </c>
      <c r="H61" s="9">
        <v>101771.7083</v>
      </c>
      <c r="I61" s="9">
        <v>1511.9219000000001</v>
      </c>
      <c r="J61" s="9">
        <v>517.61310000000003</v>
      </c>
      <c r="K61" s="9">
        <v>95785.785000000003</v>
      </c>
      <c r="L61" s="9">
        <v>1250</v>
      </c>
      <c r="M61" s="9">
        <v>445.86430000000001</v>
      </c>
      <c r="N61" s="9">
        <v>133602.67139999999</v>
      </c>
      <c r="O61" s="103">
        <f t="shared" si="2"/>
        <v>0.85548643508903355</v>
      </c>
      <c r="P61" s="103">
        <f t="shared" si="3"/>
        <v>1.1283380678007151</v>
      </c>
      <c r="Q61" s="103">
        <f t="shared" si="1"/>
        <v>0.94118283558378679</v>
      </c>
      <c r="R61" s="107" t="s">
        <v>289</v>
      </c>
    </row>
    <row r="62" spans="1:18" ht="13" thickBot="1" x14ac:dyDescent="0.3">
      <c r="A62" s="95" t="s">
        <v>141</v>
      </c>
      <c r="B62" s="9">
        <v>0.99930167636337597</v>
      </c>
      <c r="C62" s="9">
        <v>1343.5146</v>
      </c>
      <c r="D62" s="9">
        <v>541.90009999999995</v>
      </c>
      <c r="E62" s="9">
        <v>84135.235499999995</v>
      </c>
      <c r="F62" s="9">
        <v>1589.3592000000001</v>
      </c>
      <c r="G62" s="9">
        <v>610.01480000000004</v>
      </c>
      <c r="H62" s="9">
        <v>69693.863500000007</v>
      </c>
      <c r="I62" s="9">
        <v>1515.6123</v>
      </c>
      <c r="J62" s="9">
        <v>375.99329999999998</v>
      </c>
      <c r="K62" s="9">
        <v>69652.911500000002</v>
      </c>
      <c r="L62" s="9">
        <v>1250</v>
      </c>
      <c r="M62" s="9">
        <v>304.33659999999998</v>
      </c>
      <c r="N62" s="9">
        <v>91781.823900000003</v>
      </c>
      <c r="O62" s="103">
        <f t="shared" si="2"/>
        <v>0.88833926652271378</v>
      </c>
      <c r="P62" s="103">
        <f t="shared" si="3"/>
        <v>1.2072115287452816</v>
      </c>
      <c r="Q62" s="103">
        <f t="shared" si="1"/>
        <v>0.99941240163848855</v>
      </c>
      <c r="R62" s="107" t="s">
        <v>289</v>
      </c>
    </row>
    <row r="63" spans="1:18" ht="13" thickBot="1" x14ac:dyDescent="0.3">
      <c r="A63" s="97" t="s">
        <v>142</v>
      </c>
      <c r="B63" s="9">
        <v>0.99953903930297305</v>
      </c>
      <c r="C63" s="9">
        <v>1340.0023000000001</v>
      </c>
      <c r="D63" s="9">
        <v>723.54110000000003</v>
      </c>
      <c r="E63" s="9">
        <v>128784.8985</v>
      </c>
      <c r="F63" s="9">
        <v>1579.1279999999999</v>
      </c>
      <c r="G63" s="9">
        <v>578.85519999999997</v>
      </c>
      <c r="H63" s="9">
        <v>69062.944000000003</v>
      </c>
      <c r="I63" s="9">
        <v>1518.8606</v>
      </c>
      <c r="J63" s="9">
        <v>473.68049999999999</v>
      </c>
      <c r="K63" s="9">
        <v>77939.309200000003</v>
      </c>
      <c r="L63" s="9">
        <v>1211.0120999999999</v>
      </c>
      <c r="M63" s="9">
        <v>272.22149999999999</v>
      </c>
      <c r="N63" s="9">
        <v>81844.806500000006</v>
      </c>
      <c r="O63" s="103">
        <f t="shared" si="2"/>
        <v>1.2499518014176949</v>
      </c>
      <c r="P63" s="103">
        <f t="shared" si="3"/>
        <v>1.8647467229314751</v>
      </c>
      <c r="Q63" s="103">
        <f t="shared" si="1"/>
        <v>1.1285257286454513</v>
      </c>
    </row>
    <row r="64" spans="1:18" ht="12.5" x14ac:dyDescent="0.25">
      <c r="A64" s="93" t="s">
        <v>146</v>
      </c>
      <c r="B64" s="9">
        <v>0.99926786438515602</v>
      </c>
      <c r="C64" s="9">
        <v>1351.0170000000001</v>
      </c>
      <c r="D64" s="9">
        <v>678.43280000000004</v>
      </c>
      <c r="E64" s="9">
        <v>92715.745999999999</v>
      </c>
      <c r="F64" s="9">
        <v>1591.6125</v>
      </c>
      <c r="G64" s="9">
        <v>818.75329999999997</v>
      </c>
      <c r="H64" s="9">
        <v>92079.492800000007</v>
      </c>
      <c r="I64" s="9">
        <v>1505.1488999999999</v>
      </c>
      <c r="J64" s="9">
        <v>320.97370000000001</v>
      </c>
      <c r="K64" s="9">
        <v>52374.850400000003</v>
      </c>
      <c r="L64" s="9">
        <v>1250</v>
      </c>
      <c r="M64" s="9">
        <v>227.93960000000001</v>
      </c>
      <c r="N64" s="9">
        <v>61292.573900000003</v>
      </c>
      <c r="O64" s="103">
        <f t="shared" si="2"/>
        <v>0.8286168739716836</v>
      </c>
      <c r="P64" s="103">
        <f t="shared" si="3"/>
        <v>1.006909825202686</v>
      </c>
      <c r="Q64" s="103">
        <f t="shared" si="1"/>
        <v>0.56880037896994151</v>
      </c>
    </row>
    <row r="65" spans="1:18" ht="13" thickBot="1" x14ac:dyDescent="0.3">
      <c r="A65" s="95" t="s">
        <v>149</v>
      </c>
      <c r="B65" s="9">
        <v>0.997837048328861</v>
      </c>
      <c r="C65" s="9">
        <v>1357.8342</v>
      </c>
      <c r="D65" s="9">
        <v>643.32460000000003</v>
      </c>
      <c r="E65" s="9">
        <v>76906.524300000005</v>
      </c>
      <c r="F65" s="9">
        <v>1594.1090999999999</v>
      </c>
      <c r="G65" s="9">
        <v>781.6069</v>
      </c>
      <c r="H65" s="9">
        <v>86290.919399999999</v>
      </c>
      <c r="I65" s="9">
        <v>1513.1719000000001</v>
      </c>
      <c r="J65" s="9">
        <v>290.54410000000001</v>
      </c>
      <c r="K65" s="9">
        <v>50616.299599999998</v>
      </c>
      <c r="L65" s="9">
        <v>1280</v>
      </c>
      <c r="M65" s="9">
        <v>227.84440000000001</v>
      </c>
      <c r="N65" s="9">
        <v>63229.218500000003</v>
      </c>
      <c r="O65" s="103">
        <f t="shared" si="2"/>
        <v>0.82307947895546985</v>
      </c>
      <c r="P65" s="103">
        <f t="shared" si="3"/>
        <v>0.89124701457289146</v>
      </c>
      <c r="Q65" s="103">
        <f t="shared" si="1"/>
        <v>0.58657735891500995</v>
      </c>
    </row>
    <row r="66" spans="1:18" ht="12.5" x14ac:dyDescent="0.25">
      <c r="A66" s="93" t="s">
        <v>150</v>
      </c>
      <c r="B66" s="9">
        <v>0.998058915946888</v>
      </c>
      <c r="C66" s="9">
        <v>1348.3896</v>
      </c>
      <c r="D66" s="9">
        <v>825.17340000000002</v>
      </c>
      <c r="E66" s="9">
        <v>179871.6997</v>
      </c>
      <c r="F66" s="9">
        <v>1600.4253000000001</v>
      </c>
      <c r="G66" s="9">
        <v>555.57770000000005</v>
      </c>
      <c r="H66" s="9">
        <v>55395.838600000003</v>
      </c>
      <c r="I66" s="9">
        <v>1547.3225</v>
      </c>
      <c r="J66" s="9">
        <v>421.02949999999998</v>
      </c>
      <c r="K66" s="9">
        <v>64455.7955</v>
      </c>
      <c r="L66" s="9">
        <v>1159.261</v>
      </c>
      <c r="M66" s="9">
        <v>145.94900000000001</v>
      </c>
      <c r="N66" s="9">
        <v>22345.261699999999</v>
      </c>
      <c r="O66" s="103">
        <f t="shared" si="2"/>
        <v>1.4852529178186957</v>
      </c>
      <c r="P66" s="103">
        <f t="shared" si="3"/>
        <v>3.2470254850515068</v>
      </c>
      <c r="Q66" s="103">
        <f t="shared" si="1"/>
        <v>1.1635494132586341</v>
      </c>
    </row>
    <row r="67" spans="1:18" ht="12.5" x14ac:dyDescent="0.25">
      <c r="A67" s="94" t="s">
        <v>153</v>
      </c>
      <c r="B67" s="9">
        <v>0.99923590693828102</v>
      </c>
      <c r="C67" s="9">
        <v>1356.5018</v>
      </c>
      <c r="D67" s="9">
        <v>748.22950000000003</v>
      </c>
      <c r="E67" s="9">
        <v>145607.4241</v>
      </c>
      <c r="F67" s="9">
        <v>1590.308</v>
      </c>
      <c r="G67" s="9">
        <v>540.93510000000003</v>
      </c>
      <c r="H67" s="9">
        <v>61962.698499999999</v>
      </c>
      <c r="I67" s="9">
        <v>1537.4384</v>
      </c>
      <c r="J67" s="9">
        <v>476.32330000000002</v>
      </c>
      <c r="K67" s="9">
        <v>77097.877399999998</v>
      </c>
      <c r="L67" s="9">
        <v>1217.1921</v>
      </c>
      <c r="M67" s="9">
        <v>249.34800000000001</v>
      </c>
      <c r="N67" s="9">
        <v>66405.881599999993</v>
      </c>
      <c r="O67" s="103">
        <f t="shared" si="2"/>
        <v>1.3832149180188158</v>
      </c>
      <c r="P67" s="103">
        <f t="shared" si="3"/>
        <v>2.3499206397539321</v>
      </c>
      <c r="Q67" s="103">
        <f t="shared" si="1"/>
        <v>1.2442627462391749</v>
      </c>
    </row>
    <row r="68" spans="1:18" ht="12.5" x14ac:dyDescent="0.25">
      <c r="A68" s="94" t="s">
        <v>154</v>
      </c>
      <c r="B68" s="9">
        <v>0.99692405078676805</v>
      </c>
      <c r="C68" s="9">
        <v>1354.278</v>
      </c>
      <c r="D68" s="9">
        <v>663.78639999999996</v>
      </c>
      <c r="E68" s="9">
        <v>98679.435599999997</v>
      </c>
      <c r="F68" s="9">
        <v>1597.9679000000001</v>
      </c>
      <c r="G68" s="9">
        <v>664.74329999999998</v>
      </c>
      <c r="H68" s="9">
        <v>68935.145699999994</v>
      </c>
      <c r="I68" s="9">
        <v>1527.941</v>
      </c>
      <c r="J68" s="9">
        <v>359.9828</v>
      </c>
      <c r="K68" s="9">
        <v>60798.339399999997</v>
      </c>
      <c r="L68" s="9">
        <v>1250</v>
      </c>
      <c r="M68" s="9">
        <v>234.5138</v>
      </c>
      <c r="N68" s="9">
        <v>66521.354600000006</v>
      </c>
      <c r="O68" s="103">
        <f t="shared" si="2"/>
        <v>0.99856049696175953</v>
      </c>
      <c r="P68" s="103">
        <f t="shared" si="3"/>
        <v>1.4314822228626987</v>
      </c>
      <c r="Q68" s="103">
        <f t="shared" si="1"/>
        <v>0.88196432723286466</v>
      </c>
    </row>
    <row r="69" spans="1:18" ht="12.5" x14ac:dyDescent="0.25">
      <c r="A69" s="94" t="s">
        <v>155</v>
      </c>
      <c r="B69" s="9">
        <v>0.99405430833094499</v>
      </c>
      <c r="C69" s="9">
        <v>1341.8330000000001</v>
      </c>
      <c r="D69" s="9">
        <v>649.54809999999998</v>
      </c>
      <c r="E69" s="9">
        <v>66535.801000000007</v>
      </c>
      <c r="F69" s="9">
        <v>1586.8619000000001</v>
      </c>
      <c r="G69" s="9">
        <v>953.35799999999995</v>
      </c>
      <c r="H69" s="9">
        <v>101089.67049999999</v>
      </c>
      <c r="I69" s="9">
        <v>1450</v>
      </c>
      <c r="J69" s="9">
        <v>238.4716</v>
      </c>
      <c r="K69" s="9">
        <v>53487.038500000002</v>
      </c>
      <c r="L69" s="9">
        <v>1250</v>
      </c>
      <c r="M69" s="9">
        <v>204.5822</v>
      </c>
      <c r="N69" s="9">
        <v>49403.897700000001</v>
      </c>
      <c r="O69" s="103">
        <f t="shared" si="2"/>
        <v>0.68132653211070759</v>
      </c>
      <c r="P69" s="103">
        <f t="shared" si="3"/>
        <v>0.65818595184757289</v>
      </c>
      <c r="Q69" s="103">
        <f t="shared" ref="Q69:Q132" si="4">K69/H69</f>
        <v>0.52910488515243514</v>
      </c>
    </row>
    <row r="70" spans="1:18" ht="13" thickBot="1" x14ac:dyDescent="0.3">
      <c r="A70" s="95" t="s">
        <v>156</v>
      </c>
      <c r="B70" s="9">
        <v>0.99307762445980097</v>
      </c>
      <c r="C70" s="9">
        <v>1348.0320999999999</v>
      </c>
      <c r="D70" s="9">
        <v>685.60069999999996</v>
      </c>
      <c r="E70" s="9">
        <v>54170.553500000002</v>
      </c>
      <c r="F70" s="9">
        <v>1593.1985</v>
      </c>
      <c r="G70" s="9">
        <v>843.73649999999998</v>
      </c>
      <c r="H70" s="9">
        <v>85896.551399999997</v>
      </c>
      <c r="I70" s="9">
        <v>1450</v>
      </c>
      <c r="J70" s="9">
        <v>128.04939999999999</v>
      </c>
      <c r="K70" s="9">
        <v>28426.446899999999</v>
      </c>
      <c r="L70" s="9">
        <v>1290</v>
      </c>
      <c r="M70" s="9">
        <v>152.52099999999999</v>
      </c>
      <c r="N70" s="9">
        <v>39111.496800000001</v>
      </c>
      <c r="O70" s="103">
        <f t="shared" si="2"/>
        <v>0.81257679382129366</v>
      </c>
      <c r="P70" s="103">
        <f t="shared" si="3"/>
        <v>0.63064875850184599</v>
      </c>
      <c r="Q70" s="103">
        <f t="shared" si="4"/>
        <v>0.33093816266993925</v>
      </c>
    </row>
    <row r="71" spans="1:18" ht="12.5" x14ac:dyDescent="0.25">
      <c r="A71" s="93" t="s">
        <v>157</v>
      </c>
      <c r="B71">
        <v>0.99905435331276604</v>
      </c>
      <c r="C71">
        <v>1352.4099000000001</v>
      </c>
      <c r="D71">
        <v>611.02760000000001</v>
      </c>
      <c r="E71">
        <v>90617.164699999994</v>
      </c>
      <c r="F71">
        <v>1595.7380000000001</v>
      </c>
      <c r="G71">
        <v>709.92160000000001</v>
      </c>
      <c r="H71">
        <v>91263.050900000002</v>
      </c>
      <c r="I71">
        <v>1520.2108000000001</v>
      </c>
      <c r="J71">
        <v>406.88900000000001</v>
      </c>
      <c r="K71">
        <v>74604.858500000002</v>
      </c>
      <c r="L71">
        <v>1263.6131</v>
      </c>
      <c r="M71">
        <v>314.87799999999999</v>
      </c>
      <c r="N71">
        <v>112218.0895</v>
      </c>
      <c r="O71" s="103">
        <f t="shared" si="2"/>
        <v>0.86069729389836847</v>
      </c>
      <c r="P71" s="103">
        <f t="shared" si="3"/>
        <v>0.99292280727380322</v>
      </c>
      <c r="Q71" s="103">
        <f t="shared" si="4"/>
        <v>0.81747057285808977</v>
      </c>
    </row>
    <row r="72" spans="1:18" ht="12.5" x14ac:dyDescent="0.25">
      <c r="A72" s="94" t="s">
        <v>162</v>
      </c>
      <c r="B72">
        <v>0.99829745657073898</v>
      </c>
      <c r="C72">
        <v>1350.3733</v>
      </c>
      <c r="D72">
        <v>630.84029999999996</v>
      </c>
      <c r="E72">
        <v>79535.1014</v>
      </c>
      <c r="F72">
        <v>1594.3616</v>
      </c>
      <c r="G72">
        <v>725.04020000000003</v>
      </c>
      <c r="H72">
        <v>77936.736699999994</v>
      </c>
      <c r="I72">
        <v>1523.818</v>
      </c>
      <c r="J72">
        <v>305.55529999999999</v>
      </c>
      <c r="K72">
        <v>53597.063099999999</v>
      </c>
      <c r="L72">
        <v>1286.7867000000001</v>
      </c>
      <c r="M72">
        <v>278.90519999999998</v>
      </c>
      <c r="N72">
        <v>97005.058499999999</v>
      </c>
      <c r="O72" s="103">
        <f t="shared" si="2"/>
        <v>0.8700763074930189</v>
      </c>
      <c r="P72" s="103">
        <f t="shared" si="3"/>
        <v>1.0205084889062337</v>
      </c>
      <c r="Q72" s="103">
        <f t="shared" si="4"/>
        <v>0.68769960572393329</v>
      </c>
    </row>
    <row r="73" spans="1:18" ht="13" thickBot="1" x14ac:dyDescent="0.3">
      <c r="A73" s="95" t="s">
        <v>163</v>
      </c>
      <c r="B73">
        <v>0.99709491948029305</v>
      </c>
      <c r="C73">
        <v>1340.7356</v>
      </c>
      <c r="D73">
        <v>668.3854</v>
      </c>
      <c r="E73">
        <v>67240.625199999995</v>
      </c>
      <c r="F73">
        <v>1589.5635</v>
      </c>
      <c r="G73">
        <v>705.21339999999998</v>
      </c>
      <c r="H73">
        <v>67529.727100000004</v>
      </c>
      <c r="I73">
        <v>1509.1427000000001</v>
      </c>
      <c r="J73">
        <v>122.5205</v>
      </c>
      <c r="K73">
        <v>21008.813600000001</v>
      </c>
      <c r="L73">
        <v>1300</v>
      </c>
      <c r="M73">
        <v>220.05430000000001</v>
      </c>
      <c r="N73">
        <v>73783.917600000001</v>
      </c>
      <c r="O73" s="103">
        <f t="shared" si="2"/>
        <v>0.94777750961623819</v>
      </c>
      <c r="P73" s="103">
        <f t="shared" si="3"/>
        <v>0.99571889429418403</v>
      </c>
      <c r="Q73" s="103">
        <f t="shared" si="4"/>
        <v>0.31110467200451636</v>
      </c>
    </row>
    <row r="74" spans="1:18" ht="12.5" x14ac:dyDescent="0.25">
      <c r="A74" s="93" t="s">
        <v>164</v>
      </c>
      <c r="O74" s="103"/>
      <c r="P74" s="103"/>
      <c r="Q74" s="103"/>
      <c r="R74" t="s">
        <v>290</v>
      </c>
    </row>
    <row r="75" spans="1:18" ht="12.5" x14ac:dyDescent="0.25">
      <c r="A75" s="94" t="s">
        <v>167</v>
      </c>
      <c r="O75" s="103"/>
      <c r="P75" s="103"/>
      <c r="Q75" s="103"/>
      <c r="R75" t="s">
        <v>290</v>
      </c>
    </row>
    <row r="76" spans="1:18" ht="12.5" x14ac:dyDescent="0.25">
      <c r="A76" s="94" t="s">
        <v>168</v>
      </c>
      <c r="O76" s="103"/>
      <c r="P76" s="103"/>
      <c r="Q76" s="103"/>
      <c r="R76" t="s">
        <v>290</v>
      </c>
    </row>
    <row r="77" spans="1:18" ht="12.5" x14ac:dyDescent="0.25">
      <c r="A77" s="94" t="s">
        <v>169</v>
      </c>
      <c r="O77" s="103"/>
      <c r="P77" s="103"/>
      <c r="Q77" s="103"/>
      <c r="R77" t="s">
        <v>290</v>
      </c>
    </row>
    <row r="78" spans="1:18" ht="13" thickBot="1" x14ac:dyDescent="0.3">
      <c r="A78" s="95" t="s">
        <v>170</v>
      </c>
      <c r="O78" s="103"/>
      <c r="P78" s="103"/>
      <c r="Q78" s="103"/>
      <c r="R78" t="s">
        <v>290</v>
      </c>
    </row>
    <row r="79" spans="1:18" ht="12.5" x14ac:dyDescent="0.25">
      <c r="A79" s="93" t="s">
        <v>171</v>
      </c>
      <c r="B79">
        <v>0.99788557292620195</v>
      </c>
      <c r="C79">
        <v>1345.7698</v>
      </c>
      <c r="D79">
        <v>727.33209999999997</v>
      </c>
      <c r="E79">
        <v>115059.36259999999</v>
      </c>
      <c r="F79">
        <v>1583.1124</v>
      </c>
      <c r="G79">
        <v>461.06540000000001</v>
      </c>
      <c r="H79">
        <v>55229.809000000001</v>
      </c>
      <c r="I79">
        <v>1520.2683</v>
      </c>
      <c r="J79">
        <v>470.68119999999999</v>
      </c>
      <c r="K79">
        <v>77013.729699999996</v>
      </c>
      <c r="L79">
        <v>1206.1216999999999</v>
      </c>
      <c r="M79">
        <v>124.6113</v>
      </c>
      <c r="N79">
        <v>11812.300300000001</v>
      </c>
      <c r="O79" s="103">
        <f t="shared" ref="O79:P82" si="5">D79/G79</f>
        <v>1.5775031047656145</v>
      </c>
      <c r="P79" s="103">
        <f t="shared" si="5"/>
        <v>2.0832837317978048</v>
      </c>
      <c r="Q79" s="103">
        <f t="shared" si="4"/>
        <v>1.3944232488654813</v>
      </c>
      <c r="R79" s="34" t="s">
        <v>289</v>
      </c>
    </row>
    <row r="80" spans="1:18" ht="12.5" x14ac:dyDescent="0.25">
      <c r="A80" s="94" t="s">
        <v>174</v>
      </c>
      <c r="O80" s="103"/>
      <c r="P80" s="103"/>
      <c r="Q80" s="103"/>
      <c r="R80" s="34" t="s">
        <v>289</v>
      </c>
    </row>
    <row r="81" spans="1:18" ht="12.5" x14ac:dyDescent="0.25">
      <c r="A81" s="94" t="s">
        <v>175</v>
      </c>
      <c r="B81">
        <v>0.99524753739695104</v>
      </c>
      <c r="C81">
        <v>1338.6561999999999</v>
      </c>
      <c r="D81">
        <v>704.91780000000006</v>
      </c>
      <c r="E81">
        <v>94424.951700000005</v>
      </c>
      <c r="F81">
        <v>1584.5619999999999</v>
      </c>
      <c r="G81">
        <v>769.74390000000005</v>
      </c>
      <c r="H81">
        <v>70082.200800000006</v>
      </c>
      <c r="I81">
        <v>1504.9645</v>
      </c>
      <c r="J81">
        <v>257.43549999999999</v>
      </c>
      <c r="K81">
        <v>42890.190399999999</v>
      </c>
      <c r="L81">
        <v>1250</v>
      </c>
      <c r="M81">
        <v>145.66820000000001</v>
      </c>
      <c r="N81">
        <v>33337.531600000002</v>
      </c>
      <c r="O81" s="103">
        <f t="shared" si="5"/>
        <v>0.91578224913506945</v>
      </c>
      <c r="P81" s="103">
        <f t="shared" si="5"/>
        <v>1.3473456972258782</v>
      </c>
      <c r="Q81" s="103">
        <f t="shared" si="4"/>
        <v>0.61199833781475643</v>
      </c>
      <c r="R81" s="34" t="s">
        <v>289</v>
      </c>
    </row>
    <row r="82" spans="1:18" ht="12.5" x14ac:dyDescent="0.25">
      <c r="A82" s="94" t="s">
        <v>176</v>
      </c>
      <c r="B82">
        <v>0.997760596041804</v>
      </c>
      <c r="C82">
        <v>1340.9537</v>
      </c>
      <c r="D82">
        <v>681.4162</v>
      </c>
      <c r="E82">
        <v>107448.1951</v>
      </c>
      <c r="F82">
        <v>1587.7853</v>
      </c>
      <c r="G82">
        <v>436.1771</v>
      </c>
      <c r="H82">
        <v>50901.136100000003</v>
      </c>
      <c r="I82">
        <v>1522.9082000000001</v>
      </c>
      <c r="J82">
        <v>576.46690000000001</v>
      </c>
      <c r="K82">
        <v>104808.8535</v>
      </c>
      <c r="L82">
        <v>1190.7817</v>
      </c>
      <c r="M82">
        <v>132.63040000000001</v>
      </c>
      <c r="N82">
        <v>23594.038</v>
      </c>
      <c r="O82" s="103">
        <f t="shared" si="5"/>
        <v>1.5622466195497196</v>
      </c>
      <c r="P82" s="103">
        <f t="shared" si="5"/>
        <v>2.1109193886931727</v>
      </c>
      <c r="Q82" s="103">
        <f t="shared" si="4"/>
        <v>2.0590670765008721</v>
      </c>
      <c r="R82" s="34" t="s">
        <v>289</v>
      </c>
    </row>
    <row r="83" spans="1:18" ht="12.5" x14ac:dyDescent="0.25">
      <c r="A83" s="94" t="s">
        <v>177</v>
      </c>
      <c r="O83" s="103"/>
      <c r="P83" s="103"/>
      <c r="Q83" s="103"/>
      <c r="R83" t="s">
        <v>290</v>
      </c>
    </row>
    <row r="84" spans="1:18" ht="12.5" x14ac:dyDescent="0.25">
      <c r="A84" s="94" t="s">
        <v>178</v>
      </c>
      <c r="O84" s="103"/>
      <c r="P84" s="103"/>
      <c r="Q84" s="103"/>
      <c r="R84" t="s">
        <v>290</v>
      </c>
    </row>
    <row r="85" spans="1:18" ht="12.5" x14ac:dyDescent="0.25">
      <c r="A85" s="94" t="s">
        <v>179</v>
      </c>
      <c r="O85" s="103"/>
      <c r="P85" s="103"/>
      <c r="Q85" s="103"/>
      <c r="R85" t="s">
        <v>290</v>
      </c>
    </row>
    <row r="86" spans="1:18" ht="13" thickBot="1" x14ac:dyDescent="0.3">
      <c r="A86" s="95" t="s">
        <v>180</v>
      </c>
      <c r="O86" s="103"/>
      <c r="P86" s="103"/>
      <c r="Q86" s="103"/>
      <c r="R86" t="s">
        <v>290</v>
      </c>
    </row>
    <row r="87" spans="1:18" ht="12.65" customHeight="1" thickBot="1" x14ac:dyDescent="0.3">
      <c r="A87" s="98" t="s">
        <v>181</v>
      </c>
      <c r="B87">
        <v>0.99810807247289102</v>
      </c>
      <c r="C87">
        <v>1326.5952</v>
      </c>
      <c r="D87">
        <v>641.16949999999997</v>
      </c>
      <c r="E87">
        <v>79298.367499999993</v>
      </c>
      <c r="F87">
        <v>1592.1265000000001</v>
      </c>
      <c r="G87">
        <v>627.39480000000003</v>
      </c>
      <c r="H87">
        <v>62925.486900000004</v>
      </c>
      <c r="I87">
        <v>1488.7954999999999</v>
      </c>
      <c r="J87">
        <v>210.92</v>
      </c>
      <c r="K87">
        <v>41843.7935</v>
      </c>
      <c r="L87">
        <v>1250</v>
      </c>
      <c r="M87">
        <v>238.45849999999999</v>
      </c>
      <c r="N87">
        <v>65040.5311</v>
      </c>
      <c r="O87" s="103">
        <f t="shared" ref="O87:P87" si="6">D87/G87</f>
        <v>1.0219553939560861</v>
      </c>
      <c r="P87" s="103">
        <f t="shared" si="6"/>
        <v>1.2601947383580752</v>
      </c>
      <c r="Q87" s="103">
        <f t="shared" si="4"/>
        <v>0.66497369446655796</v>
      </c>
    </row>
    <row r="88" spans="1:18" ht="12.5" x14ac:dyDescent="0.25">
      <c r="A88" s="93" t="s">
        <v>184</v>
      </c>
      <c r="O88" s="103"/>
      <c r="P88" s="103"/>
      <c r="Q88" s="103"/>
      <c r="R88" t="s">
        <v>291</v>
      </c>
    </row>
    <row r="89" spans="1:18" ht="12.5" x14ac:dyDescent="0.25">
      <c r="A89" s="94" t="s">
        <v>189</v>
      </c>
      <c r="O89" s="103"/>
      <c r="P89" s="103"/>
      <c r="Q89" s="103"/>
      <c r="R89" t="s">
        <v>291</v>
      </c>
    </row>
    <row r="90" spans="1:18" ht="12.5" x14ac:dyDescent="0.25">
      <c r="A90" s="94" t="s">
        <v>190</v>
      </c>
      <c r="O90" s="103"/>
      <c r="P90" s="103"/>
      <c r="Q90" s="103"/>
      <c r="R90" t="s">
        <v>291</v>
      </c>
    </row>
    <row r="91" spans="1:18" ht="13" thickBot="1" x14ac:dyDescent="0.3">
      <c r="A91" s="95" t="s">
        <v>191</v>
      </c>
      <c r="O91" s="103"/>
      <c r="P91" s="103"/>
      <c r="Q91" s="103"/>
      <c r="R91" t="s">
        <v>291</v>
      </c>
    </row>
    <row r="92" spans="1:18" ht="12.5" x14ac:dyDescent="0.25">
      <c r="A92" s="93" t="s">
        <v>192</v>
      </c>
      <c r="B92">
        <v>0.99900326792807503</v>
      </c>
      <c r="C92" s="10">
        <v>1456.2097000000001</v>
      </c>
      <c r="D92" s="9">
        <v>828.95849999999996</v>
      </c>
      <c r="E92" s="9">
        <v>81037.490300000005</v>
      </c>
      <c r="F92" s="9">
        <v>1580.8994</v>
      </c>
      <c r="G92" s="9">
        <v>1013.8719</v>
      </c>
      <c r="H92" s="9">
        <v>88663.2114</v>
      </c>
      <c r="I92" s="9">
        <v>1535.9528</v>
      </c>
      <c r="J92" s="9">
        <v>390.42750000000001</v>
      </c>
      <c r="K92" s="9">
        <v>27322.817800000001</v>
      </c>
      <c r="L92" s="9">
        <v>1390.9547</v>
      </c>
      <c r="M92" s="9">
        <v>380.3716</v>
      </c>
      <c r="N92" s="9">
        <v>65777.469400000002</v>
      </c>
      <c r="O92" s="103">
        <f t="shared" ref="O92:O110" si="7">D92/G92</f>
        <v>0.81761660422781224</v>
      </c>
      <c r="P92" s="103">
        <f t="shared" ref="P92:P110" si="8">E92/H92</f>
        <v>0.91399227504182201</v>
      </c>
      <c r="Q92" s="103">
        <f t="shared" si="4"/>
        <v>0.30816408935081729</v>
      </c>
      <c r="R92" s="34" t="s">
        <v>289</v>
      </c>
    </row>
    <row r="93" spans="1:18" ht="12.5" x14ac:dyDescent="0.25">
      <c r="A93" s="94" t="s">
        <v>195</v>
      </c>
      <c r="B93" s="9">
        <v>0.99920299087059905</v>
      </c>
      <c r="C93" s="10">
        <v>1455.0863999999999</v>
      </c>
      <c r="D93" s="9">
        <v>1132.4797000000001</v>
      </c>
      <c r="E93" s="9">
        <v>105614.5678</v>
      </c>
      <c r="F93" s="9">
        <v>1580.5637999999999</v>
      </c>
      <c r="G93" s="9">
        <v>1475.4075</v>
      </c>
      <c r="H93" s="9">
        <v>113061.16039999999</v>
      </c>
      <c r="I93" s="9">
        <v>1537.7556999999999</v>
      </c>
      <c r="J93" s="9">
        <v>502.84960000000001</v>
      </c>
      <c r="K93" s="9">
        <v>31726.997500000001</v>
      </c>
      <c r="L93" s="9">
        <v>1400</v>
      </c>
      <c r="M93" s="9">
        <v>568.24549999999999</v>
      </c>
      <c r="N93" s="9">
        <v>117957.26880000001</v>
      </c>
      <c r="O93" s="103">
        <f t="shared" si="7"/>
        <v>0.76757078976486159</v>
      </c>
      <c r="P93" s="103">
        <f t="shared" si="8"/>
        <v>0.93413659851310005</v>
      </c>
      <c r="Q93" s="103">
        <f t="shared" si="4"/>
        <v>0.28061800699508832</v>
      </c>
      <c r="R93" s="34" t="s">
        <v>289</v>
      </c>
    </row>
    <row r="94" spans="1:18" ht="12.5" x14ac:dyDescent="0.25">
      <c r="A94" s="94" t="s">
        <v>196</v>
      </c>
      <c r="B94" s="9">
        <v>0.99925411227706895</v>
      </c>
      <c r="C94" s="10">
        <v>1453.3671999999999</v>
      </c>
      <c r="D94" s="9">
        <v>1390.5569</v>
      </c>
      <c r="E94" s="9">
        <v>119232.1847</v>
      </c>
      <c r="F94" s="9">
        <v>1579.9748999999999</v>
      </c>
      <c r="G94" s="9">
        <v>1819.2625</v>
      </c>
      <c r="H94" s="9">
        <v>131668.0814</v>
      </c>
      <c r="I94" s="9">
        <v>1533.9727</v>
      </c>
      <c r="J94" s="9">
        <v>611.98149999999998</v>
      </c>
      <c r="K94" s="9">
        <v>40734.233899999999</v>
      </c>
      <c r="L94" s="9">
        <v>1400</v>
      </c>
      <c r="M94" s="9">
        <v>631.52880000000005</v>
      </c>
      <c r="N94" s="9">
        <v>125325.0325</v>
      </c>
      <c r="O94" s="103">
        <f t="shared" si="7"/>
        <v>0.76435198328993204</v>
      </c>
      <c r="P94" s="103">
        <f t="shared" si="8"/>
        <v>0.9055511664803525</v>
      </c>
      <c r="Q94" s="103">
        <f t="shared" si="4"/>
        <v>0.30937060422602924</v>
      </c>
      <c r="R94" s="34" t="s">
        <v>289</v>
      </c>
    </row>
    <row r="95" spans="1:18" ht="12.5" x14ac:dyDescent="0.25">
      <c r="A95" s="94" t="s">
        <v>197</v>
      </c>
      <c r="B95" s="9">
        <v>0.999328156724963</v>
      </c>
      <c r="C95" s="10">
        <v>1451.5971999999999</v>
      </c>
      <c r="D95" s="9">
        <v>1469.6364000000001</v>
      </c>
      <c r="E95" s="9">
        <v>115905.4898</v>
      </c>
      <c r="F95" s="9">
        <v>1581.2422999999999</v>
      </c>
      <c r="G95" s="9">
        <v>1579.4766999999999</v>
      </c>
      <c r="H95" s="9">
        <v>100511.9451</v>
      </c>
      <c r="I95" s="9">
        <v>1542.6525999999999</v>
      </c>
      <c r="J95" s="9">
        <v>750.83370000000002</v>
      </c>
      <c r="K95" s="9">
        <v>70462.584799999997</v>
      </c>
      <c r="L95" s="9">
        <v>1400</v>
      </c>
      <c r="M95" s="9">
        <v>591.48910000000001</v>
      </c>
      <c r="N95" s="9">
        <v>98330.975600000005</v>
      </c>
      <c r="O95" s="103">
        <f t="shared" si="7"/>
        <v>0.93045779022887776</v>
      </c>
      <c r="P95" s="103">
        <f t="shared" si="8"/>
        <v>1.1531513959329398</v>
      </c>
      <c r="Q95" s="103">
        <f t="shared" si="4"/>
        <v>0.70103692381931626</v>
      </c>
      <c r="R95" s="34" t="s">
        <v>289</v>
      </c>
    </row>
    <row r="96" spans="1:18" ht="13" thickBot="1" x14ac:dyDescent="0.3">
      <c r="A96" s="95" t="s">
        <v>198</v>
      </c>
      <c r="B96" s="9">
        <v>0.99670073199789699</v>
      </c>
      <c r="C96" s="10">
        <v>1447.4001000000001</v>
      </c>
      <c r="D96" s="9">
        <v>479.85050000000001</v>
      </c>
      <c r="E96" s="9">
        <v>28751.917399999998</v>
      </c>
      <c r="F96" s="9">
        <v>1579.4359999999999</v>
      </c>
      <c r="G96" s="9">
        <v>743.22429999999997</v>
      </c>
      <c r="H96" s="9">
        <v>47298.094899999996</v>
      </c>
      <c r="I96" s="9">
        <v>1517.5898</v>
      </c>
      <c r="J96" s="9">
        <v>217.56469999999999</v>
      </c>
      <c r="K96" s="9">
        <v>22611.424299999999</v>
      </c>
      <c r="L96" s="9">
        <v>1400</v>
      </c>
      <c r="M96" s="9">
        <v>215.27760000000001</v>
      </c>
      <c r="N96" s="9">
        <v>38553.791899999997</v>
      </c>
      <c r="O96" s="103">
        <f t="shared" si="7"/>
        <v>0.64563349180052376</v>
      </c>
      <c r="P96" s="103">
        <f t="shared" si="8"/>
        <v>0.60788743100094711</v>
      </c>
      <c r="Q96" s="103">
        <f t="shared" si="4"/>
        <v>0.47806205192420975</v>
      </c>
      <c r="R96" s="34" t="s">
        <v>289</v>
      </c>
    </row>
    <row r="97" spans="1:18" ht="12.5" x14ac:dyDescent="0.25">
      <c r="A97" s="93" t="s">
        <v>199</v>
      </c>
      <c r="B97" s="9">
        <v>0.993745438365779</v>
      </c>
      <c r="C97" s="9">
        <v>1344.1175000000001</v>
      </c>
      <c r="D97" s="9">
        <v>787.46630000000005</v>
      </c>
      <c r="E97" s="9">
        <v>103197.8389</v>
      </c>
      <c r="F97" s="9">
        <v>1595.7856999999999</v>
      </c>
      <c r="G97" s="9">
        <v>748.87670000000003</v>
      </c>
      <c r="H97" s="9">
        <v>76124.962700000004</v>
      </c>
      <c r="I97" s="9">
        <v>1504.0983000000001</v>
      </c>
      <c r="J97" s="9">
        <v>322.53859999999997</v>
      </c>
      <c r="K97" s="9">
        <v>59438.256399999998</v>
      </c>
      <c r="L97" s="9">
        <v>1220</v>
      </c>
      <c r="M97" s="9">
        <v>205.89359999999999</v>
      </c>
      <c r="N97" s="9">
        <v>38786.711199999998</v>
      </c>
      <c r="O97" s="103">
        <f t="shared" si="7"/>
        <v>1.0515299781659651</v>
      </c>
      <c r="P97" s="103">
        <f t="shared" si="8"/>
        <v>1.3556373000364044</v>
      </c>
      <c r="Q97" s="103">
        <f t="shared" si="4"/>
        <v>0.78079849620734187</v>
      </c>
    </row>
    <row r="98" spans="1:18" ht="12.5" x14ac:dyDescent="0.25">
      <c r="A98" s="94" t="s">
        <v>202</v>
      </c>
      <c r="B98" s="9">
        <v>0.99448374449162702</v>
      </c>
      <c r="C98" s="9">
        <v>1348.2194</v>
      </c>
      <c r="D98" s="9">
        <v>818.70590000000004</v>
      </c>
      <c r="E98" s="9">
        <v>123869.5551</v>
      </c>
      <c r="F98" s="9">
        <v>1600.6156000000001</v>
      </c>
      <c r="G98" s="9">
        <v>664.97339999999997</v>
      </c>
      <c r="H98" s="9">
        <v>63260.287300000004</v>
      </c>
      <c r="I98" s="9">
        <v>1531.9548</v>
      </c>
      <c r="J98" s="9">
        <v>332.84640000000002</v>
      </c>
      <c r="K98" s="9">
        <v>55009.749799999998</v>
      </c>
      <c r="L98" s="9">
        <v>1201.5318</v>
      </c>
      <c r="M98" s="9">
        <v>148.7784</v>
      </c>
      <c r="N98" s="9">
        <v>25810.051500000001</v>
      </c>
      <c r="O98" s="103">
        <f t="shared" si="7"/>
        <v>1.23118593916689</v>
      </c>
      <c r="P98" s="103">
        <f t="shared" si="8"/>
        <v>1.9580934641123577</v>
      </c>
      <c r="Q98" s="103">
        <f t="shared" si="4"/>
        <v>0.86957793187259191</v>
      </c>
    </row>
    <row r="99" spans="1:18" ht="12.5" x14ac:dyDescent="0.25">
      <c r="A99" s="94" t="s">
        <v>203</v>
      </c>
      <c r="B99" s="9">
        <v>0.99082635957309295</v>
      </c>
      <c r="C99" s="9">
        <v>1346.7654</v>
      </c>
      <c r="D99" s="9">
        <v>722.40020000000004</v>
      </c>
      <c r="E99" s="9">
        <v>80077.2935</v>
      </c>
      <c r="F99" s="9">
        <v>1598.7207000000001</v>
      </c>
      <c r="G99" s="9">
        <v>681.48239999999998</v>
      </c>
      <c r="H99" s="9">
        <v>64031.276400000002</v>
      </c>
      <c r="I99" s="9">
        <v>1505.3411000000001</v>
      </c>
      <c r="J99" s="9">
        <v>205.30680000000001</v>
      </c>
      <c r="K99" s="9">
        <v>38093.032800000001</v>
      </c>
      <c r="L99" s="9">
        <v>1250</v>
      </c>
      <c r="M99" s="9">
        <v>150.16579999999999</v>
      </c>
      <c r="N99" s="9">
        <v>33575.722600000001</v>
      </c>
      <c r="O99" s="103">
        <f t="shared" si="7"/>
        <v>1.0600423429864074</v>
      </c>
      <c r="P99" s="103">
        <f t="shared" si="8"/>
        <v>1.2505965522186591</v>
      </c>
      <c r="Q99" s="103">
        <f t="shared" si="4"/>
        <v>0.59491290728041768</v>
      </c>
    </row>
    <row r="100" spans="1:18" ht="13" thickBot="1" x14ac:dyDescent="0.3">
      <c r="A100" s="95" t="s">
        <v>204</v>
      </c>
      <c r="B100" s="9">
        <v>0.98887310178826204</v>
      </c>
      <c r="C100" s="9">
        <v>1343.4341999999999</v>
      </c>
      <c r="D100" s="9">
        <v>823.62210000000005</v>
      </c>
      <c r="E100" s="9">
        <v>71781.414000000004</v>
      </c>
      <c r="F100" s="9">
        <v>1596.1514999999999</v>
      </c>
      <c r="G100" s="9">
        <v>741.34519999999998</v>
      </c>
      <c r="H100" s="9">
        <v>71026.481</v>
      </c>
      <c r="I100" s="9">
        <v>1450.0001</v>
      </c>
      <c r="J100" s="9">
        <v>144.7748</v>
      </c>
      <c r="K100" s="9">
        <v>34427.605499999998</v>
      </c>
      <c r="L100" s="9">
        <v>1250</v>
      </c>
      <c r="M100" s="9">
        <v>123.6861</v>
      </c>
      <c r="N100" s="9">
        <v>26527.9067</v>
      </c>
      <c r="O100" s="103">
        <f t="shared" si="7"/>
        <v>1.1109832504479695</v>
      </c>
      <c r="P100" s="103">
        <f t="shared" si="8"/>
        <v>1.0106288948765463</v>
      </c>
      <c r="Q100" s="103">
        <f t="shared" si="4"/>
        <v>0.48471506704661321</v>
      </c>
    </row>
    <row r="101" spans="1:18" ht="12.5" x14ac:dyDescent="0.25">
      <c r="A101" s="93" t="s">
        <v>205</v>
      </c>
      <c r="B101" s="9">
        <v>0.99688001315901897</v>
      </c>
      <c r="C101" s="9">
        <v>1345.2669000000001</v>
      </c>
      <c r="D101" s="9">
        <v>407.40719999999999</v>
      </c>
      <c r="E101" s="9">
        <v>71292.648700000005</v>
      </c>
      <c r="F101" s="9">
        <v>1595.3978</v>
      </c>
      <c r="G101" s="9">
        <v>298.48860000000002</v>
      </c>
      <c r="H101" s="9">
        <v>28446.880399999998</v>
      </c>
      <c r="I101" s="9">
        <v>1540.0527999999999</v>
      </c>
      <c r="J101" s="9">
        <v>206.88990000000001</v>
      </c>
      <c r="K101" s="9">
        <v>31267.353599999999</v>
      </c>
      <c r="L101" s="9">
        <v>1198.6144999999999</v>
      </c>
      <c r="M101" s="9">
        <v>26.532399999999999</v>
      </c>
      <c r="N101" s="9">
        <v>2507.3141999999998</v>
      </c>
      <c r="O101" s="103">
        <f t="shared" si="7"/>
        <v>1.3649003680542573</v>
      </c>
      <c r="P101" s="103">
        <f t="shared" si="8"/>
        <v>2.5061675550194957</v>
      </c>
      <c r="Q101" s="103">
        <f t="shared" si="4"/>
        <v>1.0991487699297953</v>
      </c>
    </row>
    <row r="102" spans="1:18" ht="13" thickBot="1" x14ac:dyDescent="0.3">
      <c r="A102" s="95" t="s">
        <v>209</v>
      </c>
      <c r="B102" s="9">
        <v>0.997278780076015</v>
      </c>
      <c r="C102" s="9">
        <v>1347.0044</v>
      </c>
      <c r="D102" s="9">
        <v>839.06410000000005</v>
      </c>
      <c r="E102" s="9">
        <v>144609.0637</v>
      </c>
      <c r="F102" s="9">
        <v>1590.5922</v>
      </c>
      <c r="G102" s="9">
        <v>618.02020000000005</v>
      </c>
      <c r="H102" s="9">
        <v>65470.3969</v>
      </c>
      <c r="I102" s="9">
        <v>1530.231</v>
      </c>
      <c r="J102" s="9">
        <v>427.56830000000002</v>
      </c>
      <c r="K102" s="9">
        <v>72570.253200000006</v>
      </c>
      <c r="L102" s="9">
        <v>1204.0074</v>
      </c>
      <c r="M102" s="9">
        <v>72.206100000000006</v>
      </c>
      <c r="N102" s="9">
        <v>6824.9593999999997</v>
      </c>
      <c r="O102" s="103">
        <f t="shared" si="7"/>
        <v>1.3576645229395414</v>
      </c>
      <c r="P102" s="103">
        <f t="shared" si="8"/>
        <v>2.2087702312371347</v>
      </c>
      <c r="Q102" s="103">
        <f t="shared" si="4"/>
        <v>1.1084437644519611</v>
      </c>
    </row>
    <row r="103" spans="1:18" ht="12.5" x14ac:dyDescent="0.25">
      <c r="A103" s="93" t="s">
        <v>210</v>
      </c>
      <c r="B103" s="9">
        <v>0.99424647532268595</v>
      </c>
      <c r="C103" s="9">
        <v>1336.2376999999999</v>
      </c>
      <c r="D103" s="9">
        <v>812.27520000000004</v>
      </c>
      <c r="E103" s="9">
        <v>151940.47949999999</v>
      </c>
      <c r="F103" s="9">
        <v>1619.7710999999999</v>
      </c>
      <c r="G103" s="9">
        <v>912.03390000000002</v>
      </c>
      <c r="H103" s="9">
        <v>98167.940300000002</v>
      </c>
      <c r="I103" s="9">
        <v>1549.9999</v>
      </c>
      <c r="J103" s="9">
        <v>324.4846</v>
      </c>
      <c r="K103" s="9">
        <v>57483.7209</v>
      </c>
      <c r="L103" s="9">
        <v>1202.7421999999999</v>
      </c>
      <c r="M103" s="9">
        <v>43.050400000000003</v>
      </c>
      <c r="N103" s="9">
        <v>2754.4108000000001</v>
      </c>
      <c r="O103" s="103">
        <f t="shared" si="7"/>
        <v>0.89061952631366004</v>
      </c>
      <c r="P103" s="103">
        <f t="shared" si="8"/>
        <v>1.5477606949445184</v>
      </c>
      <c r="Q103" s="103">
        <f t="shared" si="4"/>
        <v>0.58556511142365286</v>
      </c>
    </row>
    <row r="104" spans="1:18" ht="12.5" x14ac:dyDescent="0.25">
      <c r="A104" s="94" t="s">
        <v>213</v>
      </c>
      <c r="B104" s="9">
        <v>0.99160035477555097</v>
      </c>
      <c r="C104" s="9">
        <v>1331.7629999999999</v>
      </c>
      <c r="D104" s="9">
        <v>749.90899999999999</v>
      </c>
      <c r="E104" s="9">
        <v>134244.09640000001</v>
      </c>
      <c r="F104" s="9">
        <v>1623.2511</v>
      </c>
      <c r="G104" s="9">
        <v>737.67409999999995</v>
      </c>
      <c r="H104" s="9">
        <v>76234.438099999999</v>
      </c>
      <c r="I104" s="9">
        <v>1541.8387</v>
      </c>
      <c r="J104" s="9">
        <v>285.55200000000002</v>
      </c>
      <c r="K104" s="9">
        <v>52614.718399999998</v>
      </c>
      <c r="L104" s="9">
        <v>1199.5554999999999</v>
      </c>
      <c r="M104" s="9">
        <v>18.149000000000001</v>
      </c>
      <c r="N104" s="9">
        <v>216.39580000000001</v>
      </c>
      <c r="O104" s="103">
        <f t="shared" si="7"/>
        <v>1.0165857795468216</v>
      </c>
      <c r="P104" s="103">
        <f t="shared" si="8"/>
        <v>1.7609377040846848</v>
      </c>
      <c r="Q104" s="103">
        <f t="shared" si="4"/>
        <v>0.69016995089519784</v>
      </c>
    </row>
    <row r="105" spans="1:18" ht="12.5" x14ac:dyDescent="0.25">
      <c r="A105" s="94" t="s">
        <v>214</v>
      </c>
      <c r="B105" s="9">
        <v>0.99003167718745999</v>
      </c>
      <c r="C105" s="9">
        <v>1334.5060000000001</v>
      </c>
      <c r="D105" s="9">
        <v>696.42219999999998</v>
      </c>
      <c r="E105" s="9">
        <v>119213.0607</v>
      </c>
      <c r="F105" s="9">
        <v>1623.5206000000001</v>
      </c>
      <c r="G105" s="9">
        <v>629.04269999999997</v>
      </c>
      <c r="H105" s="9">
        <v>65522.901599999997</v>
      </c>
      <c r="I105" s="9">
        <v>1540.0443</v>
      </c>
      <c r="J105" s="9">
        <v>272.87040000000002</v>
      </c>
      <c r="K105" s="9">
        <v>51124.097500000003</v>
      </c>
      <c r="L105" s="9">
        <v>1179.7537</v>
      </c>
      <c r="M105" s="9">
        <v>20.249700000000001</v>
      </c>
      <c r="N105" s="9">
        <v>1341.5667000000001</v>
      </c>
      <c r="O105" s="103">
        <f t="shared" si="7"/>
        <v>1.1071143501069165</v>
      </c>
      <c r="P105" s="103">
        <f t="shared" si="8"/>
        <v>1.8194105845275936</v>
      </c>
      <c r="Q105" s="103">
        <f t="shared" si="4"/>
        <v>0.78024776454649569</v>
      </c>
    </row>
    <row r="106" spans="1:18" ht="12.5" x14ac:dyDescent="0.25">
      <c r="A106" s="94" t="s">
        <v>215</v>
      </c>
      <c r="B106" s="9">
        <v>0.98995494866343903</v>
      </c>
      <c r="C106" s="9">
        <v>1322.9712</v>
      </c>
      <c r="D106" s="9">
        <v>844.2047</v>
      </c>
      <c r="E106" s="9">
        <v>121871.0629</v>
      </c>
      <c r="F106" s="9">
        <v>1611.6262999999999</v>
      </c>
      <c r="G106" s="9">
        <v>747.33079999999995</v>
      </c>
      <c r="H106" s="9">
        <v>80593.9951</v>
      </c>
      <c r="I106" s="9">
        <v>1514.4382000000001</v>
      </c>
      <c r="J106" s="9">
        <v>212.50059999999999</v>
      </c>
      <c r="K106" s="9">
        <v>42680.344499999999</v>
      </c>
      <c r="L106" s="9">
        <v>1200.6170999999999</v>
      </c>
      <c r="M106" s="9">
        <v>63.601799999999997</v>
      </c>
      <c r="N106" s="9">
        <v>5020.3585999999996</v>
      </c>
      <c r="O106" s="103">
        <f t="shared" si="7"/>
        <v>1.1296265321862822</v>
      </c>
      <c r="P106" s="103">
        <f t="shared" si="8"/>
        <v>1.5121605865149623</v>
      </c>
      <c r="Q106" s="103">
        <f t="shared" si="4"/>
        <v>0.52957226462148665</v>
      </c>
    </row>
    <row r="107" spans="1:18" ht="12.5" x14ac:dyDescent="0.25">
      <c r="A107" s="94" t="s">
        <v>216</v>
      </c>
      <c r="B107" s="9">
        <v>0.98852178957605796</v>
      </c>
      <c r="C107" s="9">
        <v>1324.0777</v>
      </c>
      <c r="D107" s="9">
        <v>872.61400000000003</v>
      </c>
      <c r="E107" s="9">
        <v>103939.8109</v>
      </c>
      <c r="F107" s="9">
        <v>1615.9362000000001</v>
      </c>
      <c r="G107" s="9">
        <v>822.11569999999995</v>
      </c>
      <c r="H107" s="9">
        <v>87572.785499999998</v>
      </c>
      <c r="I107" s="9">
        <v>1472.3823</v>
      </c>
      <c r="J107" s="9">
        <v>203.12260000000001</v>
      </c>
      <c r="K107" s="9">
        <v>48266.490700000002</v>
      </c>
      <c r="L107" s="9">
        <v>1212.8604</v>
      </c>
      <c r="M107" s="9">
        <v>109.7128</v>
      </c>
      <c r="N107" s="9">
        <v>9601.0779999999995</v>
      </c>
      <c r="O107" s="103">
        <f t="shared" si="7"/>
        <v>1.0614248091844007</v>
      </c>
      <c r="P107" s="103">
        <f t="shared" si="8"/>
        <v>1.1868962521467357</v>
      </c>
      <c r="Q107" s="103">
        <f t="shared" si="4"/>
        <v>0.55115856398104413</v>
      </c>
    </row>
    <row r="108" spans="1:18" ht="12.5" x14ac:dyDescent="0.25">
      <c r="A108" s="94" t="s">
        <v>217</v>
      </c>
      <c r="B108" s="9">
        <v>0.98652437867825704</v>
      </c>
      <c r="C108" s="9">
        <v>1327.5626999999999</v>
      </c>
      <c r="D108" s="9">
        <v>772.23440000000005</v>
      </c>
      <c r="E108" s="9">
        <v>88958.736999999994</v>
      </c>
      <c r="F108" s="9">
        <v>1620.7071000000001</v>
      </c>
      <c r="G108" s="9">
        <v>699.09059999999999</v>
      </c>
      <c r="H108" s="9">
        <v>73298.798699999999</v>
      </c>
      <c r="I108" s="9">
        <v>1451.0418</v>
      </c>
      <c r="J108" s="9">
        <v>156.95910000000001</v>
      </c>
      <c r="K108" s="9">
        <v>40053.729299999999</v>
      </c>
      <c r="L108" s="9">
        <v>1221.8502000000001</v>
      </c>
      <c r="M108" s="9">
        <v>67.822699999999998</v>
      </c>
      <c r="N108" s="9">
        <v>5677.8010999999997</v>
      </c>
      <c r="O108" s="103">
        <f t="shared" si="7"/>
        <v>1.104627068365674</v>
      </c>
      <c r="P108" s="103">
        <f t="shared" si="8"/>
        <v>1.213645224447587</v>
      </c>
      <c r="Q108" s="103">
        <f t="shared" si="4"/>
        <v>0.54644455312198725</v>
      </c>
    </row>
    <row r="109" spans="1:18" ht="12.5" x14ac:dyDescent="0.25">
      <c r="A109" s="94" t="s">
        <v>218</v>
      </c>
      <c r="B109" s="9">
        <v>0.99080183936161803</v>
      </c>
      <c r="C109" s="9">
        <v>1320.4217000000001</v>
      </c>
      <c r="D109" s="9">
        <v>960.02189999999996</v>
      </c>
      <c r="E109" s="9">
        <v>90208.617700000003</v>
      </c>
      <c r="F109" s="9">
        <v>1609.2517</v>
      </c>
      <c r="G109" s="9">
        <v>674.82820000000004</v>
      </c>
      <c r="H109" s="9">
        <v>69592.997700000007</v>
      </c>
      <c r="I109" s="9">
        <v>1450</v>
      </c>
      <c r="J109" s="9">
        <v>100.7295</v>
      </c>
      <c r="K109" s="9">
        <v>22544.183199999999</v>
      </c>
      <c r="L109" s="9">
        <v>1224.0160000000001</v>
      </c>
      <c r="M109" s="9">
        <v>96.745699999999999</v>
      </c>
      <c r="N109" s="9">
        <v>7733.1588000000002</v>
      </c>
      <c r="O109" s="103">
        <f t="shared" si="7"/>
        <v>1.4226167489740351</v>
      </c>
      <c r="P109" s="103">
        <f t="shared" si="8"/>
        <v>1.2962312399426932</v>
      </c>
      <c r="Q109" s="103">
        <f t="shared" si="4"/>
        <v>0.32394326936717077</v>
      </c>
    </row>
    <row r="110" spans="1:18" ht="13" thickBot="1" x14ac:dyDescent="0.3">
      <c r="A110" s="95" t="s">
        <v>219</v>
      </c>
      <c r="B110" s="9">
        <v>0.98849858810994395</v>
      </c>
      <c r="C110" s="9">
        <v>1322.7907</v>
      </c>
      <c r="D110" s="9">
        <v>1014.5837</v>
      </c>
      <c r="E110" s="9">
        <v>86879.905700000003</v>
      </c>
      <c r="F110" s="9">
        <v>1608.8567</v>
      </c>
      <c r="G110" s="9">
        <v>663.91859999999997</v>
      </c>
      <c r="H110" s="9">
        <v>68219.584000000003</v>
      </c>
      <c r="I110" s="9">
        <v>1450</v>
      </c>
      <c r="J110" s="9">
        <v>77.141999999999996</v>
      </c>
      <c r="K110" s="9">
        <v>12620.4637</v>
      </c>
      <c r="L110" s="9">
        <v>1231.8161</v>
      </c>
      <c r="M110" s="9">
        <v>89.438500000000005</v>
      </c>
      <c r="N110" s="9">
        <v>6211.8478999999998</v>
      </c>
      <c r="O110" s="103">
        <f t="shared" si="7"/>
        <v>1.5281748395059276</v>
      </c>
      <c r="P110" s="103">
        <f t="shared" si="8"/>
        <v>1.2735332085871411</v>
      </c>
      <c r="Q110" s="103">
        <f t="shared" si="4"/>
        <v>0.18499766430707054</v>
      </c>
    </row>
    <row r="111" spans="1:18" ht="12.5" x14ac:dyDescent="0.25">
      <c r="A111" s="93" t="s">
        <v>220</v>
      </c>
      <c r="O111" s="103"/>
      <c r="P111" s="103"/>
      <c r="Q111" s="103"/>
      <c r="R111" s="171" t="s">
        <v>292</v>
      </c>
    </row>
    <row r="112" spans="1:18" ht="12.5" x14ac:dyDescent="0.25">
      <c r="A112" s="94" t="s">
        <v>223</v>
      </c>
      <c r="O112" s="103"/>
      <c r="P112" s="103"/>
      <c r="Q112" s="103"/>
      <c r="R112" s="171"/>
    </row>
    <row r="113" spans="1:18" ht="12.5" x14ac:dyDescent="0.25">
      <c r="A113" s="94" t="s">
        <v>225</v>
      </c>
      <c r="O113" s="103"/>
      <c r="P113" s="103"/>
      <c r="Q113" s="103"/>
      <c r="R113" s="171"/>
    </row>
    <row r="114" spans="1:18" ht="12.5" x14ac:dyDescent="0.25">
      <c r="A114" s="94" t="s">
        <v>227</v>
      </c>
      <c r="O114" s="103"/>
      <c r="P114" s="103"/>
      <c r="Q114" s="103"/>
      <c r="R114" s="171"/>
    </row>
    <row r="115" spans="1:18" ht="12.5" x14ac:dyDescent="0.25">
      <c r="A115" s="94" t="s">
        <v>229</v>
      </c>
      <c r="O115" s="103"/>
      <c r="P115" s="103"/>
      <c r="Q115" s="103"/>
      <c r="R115" s="171"/>
    </row>
    <row r="116" spans="1:18" ht="12.5" x14ac:dyDescent="0.25">
      <c r="A116" s="94" t="s">
        <v>231</v>
      </c>
      <c r="O116" s="103"/>
      <c r="P116" s="103"/>
      <c r="Q116" s="103"/>
      <c r="R116" s="171"/>
    </row>
    <row r="117" spans="1:18" ht="12.5" x14ac:dyDescent="0.25">
      <c r="A117" s="94" t="s">
        <v>233</v>
      </c>
      <c r="O117" s="103"/>
      <c r="P117" s="103"/>
      <c r="Q117" s="103"/>
      <c r="R117" s="171"/>
    </row>
    <row r="118" spans="1:18" ht="12.5" x14ac:dyDescent="0.25">
      <c r="A118" s="94" t="s">
        <v>234</v>
      </c>
      <c r="O118" s="103"/>
      <c r="P118" s="103"/>
      <c r="Q118" s="103"/>
      <c r="R118" s="171"/>
    </row>
    <row r="119" spans="1:18" ht="12.5" x14ac:dyDescent="0.25">
      <c r="A119" s="94" t="s">
        <v>235</v>
      </c>
      <c r="O119" s="103"/>
      <c r="P119" s="103"/>
      <c r="Q119" s="103"/>
      <c r="R119" s="171"/>
    </row>
    <row r="120" spans="1:18" ht="12.5" x14ac:dyDescent="0.25">
      <c r="A120" s="94" t="s">
        <v>236</v>
      </c>
      <c r="O120" s="103"/>
      <c r="P120" s="103"/>
      <c r="Q120" s="103"/>
      <c r="R120" s="171"/>
    </row>
    <row r="121" spans="1:18" ht="12.5" x14ac:dyDescent="0.25">
      <c r="A121" s="94" t="s">
        <v>237</v>
      </c>
      <c r="O121" s="103"/>
      <c r="P121" s="103"/>
      <c r="Q121" s="103"/>
      <c r="R121" s="171"/>
    </row>
    <row r="122" spans="1:18" ht="12.5" x14ac:dyDescent="0.25">
      <c r="A122" s="94" t="s">
        <v>238</v>
      </c>
      <c r="O122" s="103"/>
      <c r="P122" s="103"/>
      <c r="Q122" s="103"/>
      <c r="R122" s="171"/>
    </row>
    <row r="123" spans="1:18" ht="12.5" x14ac:dyDescent="0.25">
      <c r="A123" s="94" t="s">
        <v>239</v>
      </c>
      <c r="O123" s="103"/>
      <c r="P123" s="103"/>
      <c r="Q123" s="103"/>
      <c r="R123" s="171"/>
    </row>
    <row r="124" spans="1:18" ht="12.5" x14ac:dyDescent="0.25">
      <c r="A124" s="94" t="s">
        <v>240</v>
      </c>
      <c r="O124" s="103"/>
      <c r="P124" s="103"/>
      <c r="Q124" s="103"/>
      <c r="R124" s="171"/>
    </row>
    <row r="125" spans="1:18" ht="12.5" x14ac:dyDescent="0.25">
      <c r="A125" s="99" t="s">
        <v>266</v>
      </c>
      <c r="B125">
        <v>0.998214540400712</v>
      </c>
      <c r="C125">
        <v>1352.1486</v>
      </c>
      <c r="D125">
        <v>828.59749999999997</v>
      </c>
      <c r="E125">
        <v>176532.8904</v>
      </c>
      <c r="F125">
        <v>1601.5775000000001</v>
      </c>
      <c r="G125">
        <v>594.83150000000001</v>
      </c>
      <c r="H125">
        <v>62753.614200000004</v>
      </c>
      <c r="I125">
        <v>1552.9806000000001</v>
      </c>
      <c r="J125">
        <v>453.84530000000001</v>
      </c>
      <c r="K125">
        <v>68903.6639</v>
      </c>
      <c r="L125">
        <v>1164.0165</v>
      </c>
      <c r="M125">
        <v>151.48820000000001</v>
      </c>
      <c r="N125">
        <v>24488.640899999999</v>
      </c>
      <c r="O125" s="103">
        <f t="shared" ref="O125:O133" si="9">D125/G125</f>
        <v>1.3929953272481366</v>
      </c>
      <c r="P125" s="103">
        <f t="shared" ref="P125:P133" si="10">E125/H125</f>
        <v>2.8131111275500049</v>
      </c>
      <c r="Q125" s="103">
        <f t="shared" si="4"/>
        <v>1.0980031154922707</v>
      </c>
    </row>
    <row r="126" spans="1:18" ht="12.5" x14ac:dyDescent="0.25">
      <c r="A126" s="100" t="s">
        <v>267</v>
      </c>
      <c r="B126">
        <v>0.997801357905305</v>
      </c>
      <c r="C126">
        <v>1357.9979000000001</v>
      </c>
      <c r="D126">
        <v>612.76300000000003</v>
      </c>
      <c r="E126">
        <v>94969.931100000002</v>
      </c>
      <c r="F126">
        <v>1600.3958</v>
      </c>
      <c r="G126">
        <v>620.54989999999998</v>
      </c>
      <c r="H126">
        <v>63071.345399999998</v>
      </c>
      <c r="I126">
        <v>1530.9019000000001</v>
      </c>
      <c r="J126">
        <v>363.43509999999998</v>
      </c>
      <c r="K126">
        <v>59925.912700000001</v>
      </c>
      <c r="L126">
        <v>1250</v>
      </c>
      <c r="M126">
        <v>209.7329</v>
      </c>
      <c r="N126">
        <v>59639.616499999996</v>
      </c>
      <c r="O126" s="103">
        <f t="shared" si="9"/>
        <v>0.98745161348023758</v>
      </c>
      <c r="P126" s="103">
        <f t="shared" si="10"/>
        <v>1.5057540075877309</v>
      </c>
      <c r="Q126" s="103">
        <f t="shared" si="4"/>
        <v>0.95012897409986119</v>
      </c>
    </row>
    <row r="127" spans="1:18" ht="12.5" x14ac:dyDescent="0.25">
      <c r="A127" s="100" t="s">
        <v>268</v>
      </c>
      <c r="B127">
        <v>0.99594973091113403</v>
      </c>
      <c r="C127">
        <v>1354.3226</v>
      </c>
      <c r="D127">
        <v>629.62480000000005</v>
      </c>
      <c r="E127">
        <v>86312.872799999997</v>
      </c>
      <c r="F127">
        <v>1599.3406</v>
      </c>
      <c r="G127">
        <v>630.78800000000001</v>
      </c>
      <c r="H127">
        <v>63946.780700000003</v>
      </c>
      <c r="I127">
        <v>1527.4043999999999</v>
      </c>
      <c r="J127">
        <v>311.56150000000002</v>
      </c>
      <c r="K127">
        <v>52536.765700000004</v>
      </c>
      <c r="L127">
        <v>1250</v>
      </c>
      <c r="M127">
        <v>178.0496</v>
      </c>
      <c r="N127">
        <v>50677.188199999997</v>
      </c>
      <c r="O127" s="103">
        <f t="shared" si="9"/>
        <v>0.99815595731053863</v>
      </c>
      <c r="P127" s="103">
        <f t="shared" si="10"/>
        <v>1.3497610333963221</v>
      </c>
      <c r="Q127" s="103">
        <f t="shared" si="4"/>
        <v>0.82157014199778167</v>
      </c>
    </row>
    <row r="128" spans="1:18" ht="12.5" x14ac:dyDescent="0.25">
      <c r="A128" s="101" t="s">
        <v>269</v>
      </c>
      <c r="B128">
        <v>0.99516922456550005</v>
      </c>
      <c r="C128">
        <v>1349.5851</v>
      </c>
      <c r="D128">
        <v>838.34780000000001</v>
      </c>
      <c r="E128">
        <v>97130.863299999997</v>
      </c>
      <c r="F128">
        <v>1598.7570000000001</v>
      </c>
      <c r="G128">
        <v>820.23789999999997</v>
      </c>
      <c r="H128">
        <v>80933.706099999996</v>
      </c>
      <c r="I128">
        <v>1518.3210999999999</v>
      </c>
      <c r="J128">
        <v>287.32799999999997</v>
      </c>
      <c r="K128">
        <v>50377.832799999996</v>
      </c>
      <c r="L128">
        <v>1250</v>
      </c>
      <c r="M128">
        <v>191.898</v>
      </c>
      <c r="N128">
        <v>50807.690799999997</v>
      </c>
      <c r="O128" s="103">
        <f t="shared" si="9"/>
        <v>1.0220788383467772</v>
      </c>
      <c r="P128" s="103">
        <f t="shared" si="10"/>
        <v>1.2001286976774193</v>
      </c>
      <c r="Q128" s="103">
        <f t="shared" si="4"/>
        <v>0.62245799960963355</v>
      </c>
    </row>
    <row r="129" spans="1:18" ht="12.5" x14ac:dyDescent="0.25">
      <c r="A129" s="102" t="s">
        <v>277</v>
      </c>
      <c r="O129" s="103"/>
      <c r="P129" s="103"/>
      <c r="Q129" s="103"/>
      <c r="R129" t="s">
        <v>291</v>
      </c>
    </row>
    <row r="130" spans="1:18" ht="12.5" x14ac:dyDescent="0.25">
      <c r="A130" s="101" t="s">
        <v>274</v>
      </c>
      <c r="B130" s="9">
        <v>0.99659618702751995</v>
      </c>
      <c r="C130" s="9">
        <v>1364.5482</v>
      </c>
      <c r="D130" s="9">
        <v>616.60889999999995</v>
      </c>
      <c r="E130" s="9">
        <v>145703.3849</v>
      </c>
      <c r="F130" s="9">
        <v>1598.4960000000001</v>
      </c>
      <c r="G130" s="9">
        <v>508.23649999999998</v>
      </c>
      <c r="H130" s="9">
        <v>63195.106899999999</v>
      </c>
      <c r="I130" s="9">
        <v>1550</v>
      </c>
      <c r="J130" s="9">
        <v>324.28449999999998</v>
      </c>
      <c r="K130" s="9">
        <v>47104.051200000002</v>
      </c>
      <c r="L130" s="9">
        <v>1150</v>
      </c>
      <c r="M130" s="9">
        <v>103.23439999999999</v>
      </c>
      <c r="N130" s="9">
        <v>16738.403600000001</v>
      </c>
      <c r="O130" s="103">
        <f t="shared" si="9"/>
        <v>1.2132322255485388</v>
      </c>
      <c r="P130" s="103">
        <f t="shared" si="10"/>
        <v>2.3056118115372635</v>
      </c>
      <c r="Q130" s="103">
        <f t="shared" si="4"/>
        <v>0.74537497459316748</v>
      </c>
      <c r="R130" s="33" t="s">
        <v>289</v>
      </c>
    </row>
    <row r="131" spans="1:18" ht="12.5" x14ac:dyDescent="0.25">
      <c r="A131" s="72" t="s">
        <v>295</v>
      </c>
      <c r="B131" s="9">
        <v>0.99615799940693806</v>
      </c>
      <c r="C131" s="9">
        <v>1337.8986</v>
      </c>
      <c r="D131" s="9">
        <v>730.45960000000002</v>
      </c>
      <c r="E131" s="9">
        <v>77323.287599999996</v>
      </c>
      <c r="F131" s="9">
        <v>1584.0752</v>
      </c>
      <c r="G131" s="9">
        <v>727.3614</v>
      </c>
      <c r="H131" s="9">
        <v>75881.787400000001</v>
      </c>
      <c r="I131" s="9">
        <v>1477.5563</v>
      </c>
      <c r="J131" s="9">
        <v>205.523</v>
      </c>
      <c r="K131" s="9">
        <v>41336.699099999998</v>
      </c>
      <c r="L131" s="9">
        <v>1249.9999</v>
      </c>
      <c r="M131" s="9">
        <v>142.51179999999999</v>
      </c>
      <c r="N131" s="9">
        <v>25336.4002</v>
      </c>
      <c r="O131" s="103">
        <f t="shared" si="9"/>
        <v>1.0042595056597725</v>
      </c>
      <c r="P131" s="103">
        <f t="shared" si="10"/>
        <v>1.0189966558431385</v>
      </c>
      <c r="Q131" s="103">
        <f t="shared" si="4"/>
        <v>0.5447512574011929</v>
      </c>
    </row>
    <row r="132" spans="1:18" ht="12.5" x14ac:dyDescent="0.25">
      <c r="A132" s="73" t="s">
        <v>294</v>
      </c>
      <c r="B132" s="9">
        <v>0.99122419755456803</v>
      </c>
      <c r="C132" s="9">
        <v>1340.6813</v>
      </c>
      <c r="D132" s="9">
        <v>835.85760000000005</v>
      </c>
      <c r="E132" s="9">
        <v>77882.390499999994</v>
      </c>
      <c r="F132" s="9">
        <v>1592.8415</v>
      </c>
      <c r="G132" s="9">
        <v>789.81880000000001</v>
      </c>
      <c r="H132" s="9">
        <v>79846.132100000003</v>
      </c>
      <c r="I132" s="9">
        <v>1458.3214</v>
      </c>
      <c r="J132" s="9">
        <v>160.68270000000001</v>
      </c>
      <c r="K132" s="9">
        <v>35909.140899999999</v>
      </c>
      <c r="L132" s="9">
        <v>1250</v>
      </c>
      <c r="M132" s="9">
        <v>120.8245</v>
      </c>
      <c r="N132" s="9">
        <v>21638.525399999999</v>
      </c>
      <c r="O132" s="103">
        <f t="shared" si="9"/>
        <v>1.0582903319090404</v>
      </c>
      <c r="P132" s="103">
        <f t="shared" si="10"/>
        <v>0.97540592702047735</v>
      </c>
      <c r="Q132" s="103">
        <f t="shared" si="4"/>
        <v>0.44972924743589421</v>
      </c>
    </row>
    <row r="133" spans="1:18" ht="12.5" x14ac:dyDescent="0.25">
      <c r="A133" s="74" t="s">
        <v>296</v>
      </c>
      <c r="B133" s="9">
        <v>0.98832629007029804</v>
      </c>
      <c r="C133" s="9">
        <v>1337.9631999999999</v>
      </c>
      <c r="D133" s="9">
        <v>1391.2945</v>
      </c>
      <c r="E133" s="9">
        <v>117180.72870000001</v>
      </c>
      <c r="F133" s="9">
        <v>1592.4526000000001</v>
      </c>
      <c r="G133" s="9">
        <v>1213.3336999999999</v>
      </c>
      <c r="H133" s="9">
        <v>116755.34570000001</v>
      </c>
      <c r="I133" s="9">
        <v>1450</v>
      </c>
      <c r="J133" s="9">
        <v>182.79599999999999</v>
      </c>
      <c r="K133" s="9">
        <v>40088.402800000003</v>
      </c>
      <c r="L133" s="9">
        <v>1250</v>
      </c>
      <c r="M133" s="9">
        <v>154.29660000000001</v>
      </c>
      <c r="N133" s="9">
        <v>31393.213400000001</v>
      </c>
      <c r="O133" s="103">
        <f t="shared" si="9"/>
        <v>1.146670944687352</v>
      </c>
      <c r="P133" s="103">
        <f t="shared" si="10"/>
        <v>1.0036433706521071</v>
      </c>
      <c r="Q133" s="103">
        <f t="shared" ref="Q133" si="11">K133/H133</f>
        <v>0.3433538957865464</v>
      </c>
    </row>
    <row r="134" spans="1:18" ht="12.5" x14ac:dyDescent="0.25">
      <c r="A134" s="15"/>
      <c r="O134" s="103"/>
      <c r="P134" s="103"/>
      <c r="Q134" s="103"/>
    </row>
    <row r="135" spans="1:18" ht="12.5" x14ac:dyDescent="0.25">
      <c r="A135" s="15"/>
      <c r="O135" s="103"/>
      <c r="P135" s="103"/>
      <c r="Q135" s="103"/>
    </row>
    <row r="136" spans="1:18" ht="12.5" x14ac:dyDescent="0.25">
      <c r="A136" s="15"/>
      <c r="O136" s="103"/>
      <c r="P136" s="103"/>
      <c r="Q136" s="103"/>
    </row>
    <row r="137" spans="1:18" ht="12.5" x14ac:dyDescent="0.25">
      <c r="A137" s="15"/>
      <c r="O137" s="103"/>
      <c r="P137" s="103"/>
      <c r="Q137" s="103"/>
    </row>
    <row r="138" spans="1:18" ht="12.5" x14ac:dyDescent="0.25">
      <c r="A138" s="15"/>
      <c r="O138" s="103"/>
      <c r="P138" s="103"/>
      <c r="Q138" s="103"/>
    </row>
    <row r="139" spans="1:18" ht="12.5" x14ac:dyDescent="0.25">
      <c r="A139" s="15"/>
      <c r="O139" s="103"/>
      <c r="P139" s="103"/>
      <c r="Q139" s="103"/>
    </row>
    <row r="140" spans="1:18" ht="12.5" x14ac:dyDescent="0.25">
      <c r="A140" s="15"/>
      <c r="O140" s="103"/>
      <c r="P140" s="103"/>
      <c r="Q140" s="103"/>
    </row>
    <row r="141" spans="1:18" ht="12.5" x14ac:dyDescent="0.25">
      <c r="A141" s="15"/>
      <c r="O141" s="103"/>
      <c r="P141" s="103"/>
      <c r="Q141" s="103"/>
    </row>
    <row r="142" spans="1:18" ht="12.5" x14ac:dyDescent="0.25">
      <c r="A142" s="15"/>
      <c r="O142" s="103"/>
      <c r="P142" s="103"/>
      <c r="Q142" s="103"/>
    </row>
    <row r="143" spans="1:18" ht="12.5" x14ac:dyDescent="0.25">
      <c r="A143" s="15"/>
      <c r="O143" s="103"/>
      <c r="P143" s="103"/>
      <c r="Q143" s="103"/>
    </row>
    <row r="144" spans="1:18" ht="12.5" x14ac:dyDescent="0.25">
      <c r="A144" s="15"/>
      <c r="O144" s="103"/>
      <c r="P144" s="103"/>
      <c r="Q144" s="103"/>
    </row>
    <row r="145" spans="1:17" ht="12.5" x14ac:dyDescent="0.25">
      <c r="A145" s="15"/>
      <c r="O145" s="103"/>
      <c r="P145" s="103"/>
      <c r="Q145" s="103"/>
    </row>
    <row r="146" spans="1:17" ht="12.5" x14ac:dyDescent="0.25">
      <c r="A146" s="15"/>
      <c r="O146" s="103"/>
      <c r="P146" s="103"/>
      <c r="Q146" s="103"/>
    </row>
    <row r="147" spans="1:17" ht="12.5" x14ac:dyDescent="0.25">
      <c r="A147" s="15"/>
      <c r="O147" s="103"/>
      <c r="P147" s="103"/>
      <c r="Q147" s="103"/>
    </row>
    <row r="148" spans="1:17" ht="12.5" x14ac:dyDescent="0.25">
      <c r="A148" s="15"/>
      <c r="O148" s="103"/>
      <c r="P148" s="103"/>
      <c r="Q148" s="103"/>
    </row>
    <row r="149" spans="1:17" ht="12.5" x14ac:dyDescent="0.25">
      <c r="A149" s="15"/>
      <c r="O149" s="103"/>
      <c r="P149" s="103"/>
      <c r="Q149" s="103"/>
    </row>
    <row r="150" spans="1:17" ht="12.5" x14ac:dyDescent="0.25">
      <c r="A150" s="15"/>
      <c r="O150" s="103"/>
      <c r="P150" s="103"/>
      <c r="Q150" s="103"/>
    </row>
    <row r="151" spans="1:17" ht="12.5" x14ac:dyDescent="0.25">
      <c r="A151" s="15"/>
      <c r="O151" s="103"/>
      <c r="P151" s="103"/>
      <c r="Q151" s="103"/>
    </row>
    <row r="152" spans="1:17" ht="12.5" x14ac:dyDescent="0.25">
      <c r="A152" s="15"/>
      <c r="O152" s="103"/>
      <c r="P152" s="103"/>
      <c r="Q152" s="103"/>
    </row>
    <row r="153" spans="1:17" ht="12.5" x14ac:dyDescent="0.25">
      <c r="A153" s="15"/>
      <c r="O153" s="103"/>
      <c r="P153" s="103"/>
      <c r="Q153" s="103"/>
    </row>
    <row r="154" spans="1:17" ht="12.5" x14ac:dyDescent="0.25">
      <c r="A154" s="15"/>
      <c r="O154" s="103"/>
      <c r="P154" s="103"/>
      <c r="Q154" s="103"/>
    </row>
    <row r="155" spans="1:17" ht="12.5" x14ac:dyDescent="0.25">
      <c r="A155" s="15"/>
      <c r="O155" s="103"/>
      <c r="P155" s="103"/>
      <c r="Q155" s="103"/>
    </row>
    <row r="156" spans="1:17" ht="12.5" x14ac:dyDescent="0.25">
      <c r="A156" s="15"/>
      <c r="O156" s="103"/>
      <c r="P156" s="103"/>
      <c r="Q156" s="103"/>
    </row>
    <row r="157" spans="1:17" ht="12.5" x14ac:dyDescent="0.25">
      <c r="A157" s="15"/>
      <c r="O157" s="103"/>
      <c r="P157" s="103"/>
      <c r="Q157" s="103"/>
    </row>
    <row r="158" spans="1:17" ht="12.5" x14ac:dyDescent="0.25">
      <c r="A158" s="15"/>
      <c r="O158" s="103"/>
      <c r="P158" s="103"/>
      <c r="Q158" s="103"/>
    </row>
    <row r="159" spans="1:17" ht="12.5" x14ac:dyDescent="0.25">
      <c r="A159" s="15"/>
      <c r="O159" s="103"/>
      <c r="P159" s="103"/>
      <c r="Q159" s="103"/>
    </row>
    <row r="160" spans="1:17" ht="12.5" x14ac:dyDescent="0.25">
      <c r="A160" s="15"/>
      <c r="O160" s="103"/>
      <c r="P160" s="103"/>
      <c r="Q160" s="103"/>
    </row>
    <row r="161" spans="1:17" ht="12.5" x14ac:dyDescent="0.25">
      <c r="A161" s="15"/>
      <c r="O161" s="103"/>
      <c r="P161" s="103"/>
      <c r="Q161" s="103"/>
    </row>
    <row r="162" spans="1:17" ht="12.5" x14ac:dyDescent="0.25">
      <c r="A162" s="15"/>
      <c r="O162" s="103"/>
      <c r="P162" s="103"/>
      <c r="Q162" s="103"/>
    </row>
    <row r="163" spans="1:17" ht="12.5" x14ac:dyDescent="0.25">
      <c r="A163" s="15"/>
      <c r="O163" s="103"/>
      <c r="P163" s="103"/>
      <c r="Q163" s="103"/>
    </row>
    <row r="164" spans="1:17" ht="12.5" x14ac:dyDescent="0.25">
      <c r="A164" s="15"/>
      <c r="O164" s="103"/>
      <c r="P164" s="103"/>
      <c r="Q164" s="103"/>
    </row>
    <row r="165" spans="1:17" ht="12.5" x14ac:dyDescent="0.25">
      <c r="A165" s="15"/>
      <c r="O165" s="103"/>
      <c r="P165" s="103"/>
      <c r="Q165" s="103"/>
    </row>
    <row r="166" spans="1:17" ht="12.5" x14ac:dyDescent="0.25">
      <c r="A166" s="15"/>
      <c r="O166" s="103"/>
      <c r="P166" s="103"/>
      <c r="Q166" s="103"/>
    </row>
    <row r="167" spans="1:17" ht="12.5" x14ac:dyDescent="0.25">
      <c r="A167" s="15"/>
      <c r="O167" s="103"/>
      <c r="P167" s="103"/>
      <c r="Q167" s="103"/>
    </row>
    <row r="168" spans="1:17" ht="12.5" x14ac:dyDescent="0.25">
      <c r="A168" s="15"/>
      <c r="O168" s="103"/>
      <c r="P168" s="103"/>
      <c r="Q168" s="103"/>
    </row>
    <row r="169" spans="1:17" ht="12.5" x14ac:dyDescent="0.25">
      <c r="A169" s="15"/>
      <c r="O169" s="103"/>
      <c r="P169" s="103"/>
      <c r="Q169" s="103"/>
    </row>
    <row r="170" spans="1:17" ht="12.5" x14ac:dyDescent="0.25">
      <c r="A170" s="15"/>
      <c r="O170" s="103"/>
      <c r="P170" s="103"/>
      <c r="Q170" s="103"/>
    </row>
    <row r="171" spans="1:17" ht="12.5" x14ac:dyDescent="0.25">
      <c r="A171" s="15"/>
      <c r="O171" s="103"/>
      <c r="P171" s="103"/>
      <c r="Q171" s="103"/>
    </row>
    <row r="172" spans="1:17" ht="12.5" x14ac:dyDescent="0.25">
      <c r="A172" s="15"/>
      <c r="O172" s="103"/>
      <c r="P172" s="103"/>
      <c r="Q172" s="103"/>
    </row>
    <row r="173" spans="1:17" ht="12.5" x14ac:dyDescent="0.25">
      <c r="A173" s="15"/>
      <c r="O173" s="103"/>
      <c r="P173" s="103"/>
      <c r="Q173" s="103"/>
    </row>
    <row r="174" spans="1:17" ht="12.5" x14ac:dyDescent="0.25">
      <c r="A174" s="15"/>
      <c r="O174" s="103"/>
      <c r="P174" s="103"/>
      <c r="Q174" s="103"/>
    </row>
    <row r="175" spans="1:17" ht="12.5" x14ac:dyDescent="0.25">
      <c r="A175" s="15"/>
      <c r="O175" s="103"/>
      <c r="P175" s="103"/>
      <c r="Q175" s="103"/>
    </row>
    <row r="176" spans="1:17" ht="12.5" x14ac:dyDescent="0.25">
      <c r="A176" s="15"/>
      <c r="O176" s="103"/>
      <c r="P176" s="103"/>
      <c r="Q176" s="103"/>
    </row>
    <row r="177" spans="1:17" ht="12.5" x14ac:dyDescent="0.25">
      <c r="A177" s="15"/>
      <c r="O177" s="103"/>
      <c r="P177" s="103"/>
      <c r="Q177" s="103"/>
    </row>
    <row r="178" spans="1:17" ht="12.5" x14ac:dyDescent="0.25">
      <c r="A178" s="15"/>
      <c r="O178" s="103"/>
      <c r="P178" s="103"/>
      <c r="Q178" s="103"/>
    </row>
    <row r="179" spans="1:17" ht="12.5" x14ac:dyDescent="0.25">
      <c r="A179" s="15"/>
      <c r="O179" s="103"/>
      <c r="P179" s="103"/>
      <c r="Q179" s="103"/>
    </row>
    <row r="180" spans="1:17" ht="12.5" x14ac:dyDescent="0.25">
      <c r="A180" s="15"/>
      <c r="O180" s="103"/>
      <c r="P180" s="103"/>
      <c r="Q180" s="103"/>
    </row>
    <row r="181" spans="1:17" ht="12.5" x14ac:dyDescent="0.25">
      <c r="A181" s="15"/>
      <c r="O181" s="103"/>
      <c r="P181" s="103"/>
      <c r="Q181" s="103"/>
    </row>
    <row r="182" spans="1:17" ht="12.5" x14ac:dyDescent="0.25">
      <c r="A182" s="15"/>
      <c r="O182" s="103"/>
      <c r="P182" s="103"/>
      <c r="Q182" s="103"/>
    </row>
    <row r="183" spans="1:17" ht="12.5" x14ac:dyDescent="0.25">
      <c r="A183" s="15"/>
      <c r="O183" s="103"/>
      <c r="P183" s="103"/>
      <c r="Q183" s="103"/>
    </row>
    <row r="184" spans="1:17" ht="12.5" x14ac:dyDescent="0.25">
      <c r="A184" s="15"/>
      <c r="O184" s="103"/>
      <c r="P184" s="103"/>
      <c r="Q184" s="103"/>
    </row>
    <row r="185" spans="1:17" ht="12.5" x14ac:dyDescent="0.25">
      <c r="A185" s="15"/>
      <c r="O185" s="103"/>
      <c r="P185" s="103"/>
      <c r="Q185" s="103"/>
    </row>
    <row r="186" spans="1:17" ht="12.5" x14ac:dyDescent="0.25">
      <c r="A186" s="15"/>
      <c r="O186" s="103"/>
      <c r="P186" s="103"/>
      <c r="Q186" s="103"/>
    </row>
    <row r="187" spans="1:17" ht="12.5" x14ac:dyDescent="0.25">
      <c r="A187" s="15"/>
      <c r="O187" s="103"/>
      <c r="P187" s="103"/>
      <c r="Q187" s="103"/>
    </row>
    <row r="188" spans="1:17" ht="12.5" x14ac:dyDescent="0.25">
      <c r="A188" s="15"/>
      <c r="O188" s="103"/>
      <c r="P188" s="103"/>
      <c r="Q188" s="103"/>
    </row>
    <row r="189" spans="1:17" ht="12.5" x14ac:dyDescent="0.25">
      <c r="A189" s="15"/>
      <c r="O189" s="103"/>
      <c r="P189" s="103"/>
      <c r="Q189" s="103"/>
    </row>
    <row r="190" spans="1:17" ht="12.5" x14ac:dyDescent="0.25">
      <c r="A190" s="15"/>
    </row>
    <row r="191" spans="1:17" ht="12.5" x14ac:dyDescent="0.25">
      <c r="A191" s="15"/>
    </row>
    <row r="192" spans="1:17" ht="12.5" x14ac:dyDescent="0.25">
      <c r="A192" s="15"/>
    </row>
    <row r="193" spans="1:1" ht="12.5" x14ac:dyDescent="0.25">
      <c r="A193" s="15"/>
    </row>
    <row r="194" spans="1:1" ht="12.5" x14ac:dyDescent="0.25">
      <c r="A194" s="15"/>
    </row>
    <row r="195" spans="1:1" ht="12.5" x14ac:dyDescent="0.25">
      <c r="A195" s="15"/>
    </row>
    <row r="196" spans="1:1" ht="12.5" x14ac:dyDescent="0.25">
      <c r="A196" s="15"/>
    </row>
    <row r="197" spans="1:1" ht="12.5" x14ac:dyDescent="0.25">
      <c r="A197" s="15"/>
    </row>
    <row r="198" spans="1:1" ht="12.5" x14ac:dyDescent="0.25">
      <c r="A198" s="15"/>
    </row>
    <row r="199" spans="1:1" ht="12.5" x14ac:dyDescent="0.25">
      <c r="A199" s="15"/>
    </row>
    <row r="200" spans="1:1" ht="12.5" x14ac:dyDescent="0.25">
      <c r="A200" s="15"/>
    </row>
    <row r="201" spans="1:1" ht="12.5" x14ac:dyDescent="0.25">
      <c r="A201" s="15"/>
    </row>
    <row r="202" spans="1:1" ht="12.5" x14ac:dyDescent="0.25">
      <c r="A202" s="15"/>
    </row>
    <row r="203" spans="1:1" ht="12.5" x14ac:dyDescent="0.25">
      <c r="A203" s="15"/>
    </row>
    <row r="204" spans="1:1" ht="12.5" x14ac:dyDescent="0.25">
      <c r="A204" s="15"/>
    </row>
    <row r="205" spans="1:1" ht="12.5" x14ac:dyDescent="0.25">
      <c r="A205" s="15"/>
    </row>
    <row r="206" spans="1:1" ht="12.5" x14ac:dyDescent="0.25">
      <c r="A206" s="15"/>
    </row>
    <row r="207" spans="1:1" ht="12.5" x14ac:dyDescent="0.25">
      <c r="A207" s="15"/>
    </row>
    <row r="208" spans="1:1" ht="12.5" x14ac:dyDescent="0.25">
      <c r="A208" s="15"/>
    </row>
    <row r="209" spans="1:1" ht="12.5" x14ac:dyDescent="0.25">
      <c r="A209" s="15"/>
    </row>
    <row r="210" spans="1:1" ht="12.5" x14ac:dyDescent="0.25">
      <c r="A210" s="15"/>
    </row>
    <row r="211" spans="1:1" ht="12.5" x14ac:dyDescent="0.25">
      <c r="A211" s="15"/>
    </row>
    <row r="212" spans="1:1" ht="12.5" x14ac:dyDescent="0.25">
      <c r="A212" s="15"/>
    </row>
    <row r="213" spans="1:1" ht="12.5" x14ac:dyDescent="0.25">
      <c r="A213" s="15"/>
    </row>
    <row r="214" spans="1:1" ht="12.5" x14ac:dyDescent="0.25">
      <c r="A214" s="15"/>
    </row>
    <row r="215" spans="1:1" ht="12.5" x14ac:dyDescent="0.25">
      <c r="A215" s="15"/>
    </row>
    <row r="216" spans="1:1" ht="12.5" x14ac:dyDescent="0.25">
      <c r="A216" s="15"/>
    </row>
    <row r="217" spans="1:1" ht="12.5" x14ac:dyDescent="0.25">
      <c r="A217" s="15"/>
    </row>
    <row r="218" spans="1:1" ht="12.5" x14ac:dyDescent="0.25">
      <c r="A218" s="15"/>
    </row>
    <row r="219" spans="1:1" ht="12.5" x14ac:dyDescent="0.25">
      <c r="A219" s="15"/>
    </row>
    <row r="220" spans="1:1" ht="12.5" x14ac:dyDescent="0.25">
      <c r="A220" s="15"/>
    </row>
    <row r="221" spans="1:1" ht="12.5" x14ac:dyDescent="0.25">
      <c r="A221" s="15"/>
    </row>
    <row r="222" spans="1:1" ht="12.5" x14ac:dyDescent="0.25">
      <c r="A222" s="15"/>
    </row>
    <row r="223" spans="1:1" ht="12.5" x14ac:dyDescent="0.25">
      <c r="A223" s="15"/>
    </row>
    <row r="224" spans="1:1" ht="12.5" x14ac:dyDescent="0.25">
      <c r="A224" s="15"/>
    </row>
    <row r="225" spans="1:1" ht="12.5" x14ac:dyDescent="0.25">
      <c r="A225" s="15"/>
    </row>
    <row r="226" spans="1:1" ht="12.5" x14ac:dyDescent="0.25">
      <c r="A226" s="15"/>
    </row>
    <row r="227" spans="1:1" ht="12.5" x14ac:dyDescent="0.25">
      <c r="A227" s="15"/>
    </row>
    <row r="228" spans="1:1" ht="12.5" x14ac:dyDescent="0.25">
      <c r="A228" s="15"/>
    </row>
    <row r="229" spans="1:1" ht="12.5" x14ac:dyDescent="0.25">
      <c r="A229" s="15"/>
    </row>
    <row r="230" spans="1:1" ht="12.5" x14ac:dyDescent="0.25">
      <c r="A230" s="15"/>
    </row>
    <row r="231" spans="1:1" ht="12.5" x14ac:dyDescent="0.25">
      <c r="A231" s="15"/>
    </row>
    <row r="232" spans="1:1" ht="12.5" x14ac:dyDescent="0.25">
      <c r="A232" s="15"/>
    </row>
    <row r="233" spans="1:1" ht="12.5" x14ac:dyDescent="0.25">
      <c r="A233" s="15"/>
    </row>
    <row r="234" spans="1:1" ht="12.5" x14ac:dyDescent="0.25">
      <c r="A234" s="15"/>
    </row>
    <row r="235" spans="1:1" ht="12.5" x14ac:dyDescent="0.25">
      <c r="A235" s="15"/>
    </row>
    <row r="236" spans="1:1" ht="12.5" x14ac:dyDescent="0.25">
      <c r="A236" s="15"/>
    </row>
    <row r="237" spans="1:1" ht="12.5" x14ac:dyDescent="0.25">
      <c r="A237" s="15"/>
    </row>
    <row r="238" spans="1:1" ht="12.5" x14ac:dyDescent="0.25">
      <c r="A238" s="15"/>
    </row>
    <row r="239" spans="1:1" ht="12.5" x14ac:dyDescent="0.25">
      <c r="A239" s="15"/>
    </row>
    <row r="240" spans="1:1" ht="12.5" x14ac:dyDescent="0.25">
      <c r="A240" s="15"/>
    </row>
    <row r="241" spans="1:1" ht="12.5" x14ac:dyDescent="0.25">
      <c r="A241" s="15"/>
    </row>
    <row r="242" spans="1:1" ht="12.5" x14ac:dyDescent="0.25">
      <c r="A242" s="15"/>
    </row>
    <row r="243" spans="1:1" ht="12.5" x14ac:dyDescent="0.25">
      <c r="A243" s="15"/>
    </row>
    <row r="244" spans="1:1" ht="12.5" x14ac:dyDescent="0.25">
      <c r="A244" s="15"/>
    </row>
    <row r="245" spans="1:1" ht="12.5" x14ac:dyDescent="0.25">
      <c r="A245" s="15"/>
    </row>
    <row r="246" spans="1:1" ht="12.5" x14ac:dyDescent="0.25">
      <c r="A246" s="15"/>
    </row>
    <row r="247" spans="1:1" ht="12.5" x14ac:dyDescent="0.25">
      <c r="A247" s="15"/>
    </row>
    <row r="248" spans="1:1" ht="12.5" x14ac:dyDescent="0.25">
      <c r="A248" s="15"/>
    </row>
    <row r="249" spans="1:1" ht="12.5" x14ac:dyDescent="0.25">
      <c r="A249" s="15"/>
    </row>
    <row r="250" spans="1:1" ht="12.5" x14ac:dyDescent="0.25">
      <c r="A250" s="15"/>
    </row>
    <row r="251" spans="1:1" ht="12.5" x14ac:dyDescent="0.25">
      <c r="A251" s="15"/>
    </row>
    <row r="252" spans="1:1" ht="12.5" x14ac:dyDescent="0.25">
      <c r="A252" s="15"/>
    </row>
    <row r="253" spans="1:1" ht="12.5" x14ac:dyDescent="0.25">
      <c r="A253" s="15"/>
    </row>
    <row r="254" spans="1:1" ht="12.5" x14ac:dyDescent="0.25">
      <c r="A254" s="15"/>
    </row>
    <row r="255" spans="1:1" ht="12.5" x14ac:dyDescent="0.25">
      <c r="A255" s="15"/>
    </row>
    <row r="256" spans="1:1" ht="12.5" x14ac:dyDescent="0.25">
      <c r="A256" s="15"/>
    </row>
    <row r="257" spans="1:1" ht="12.5" x14ac:dyDescent="0.25">
      <c r="A257" s="15"/>
    </row>
    <row r="258" spans="1:1" ht="12.5" x14ac:dyDescent="0.25">
      <c r="A258" s="15"/>
    </row>
    <row r="259" spans="1:1" ht="12.5" x14ac:dyDescent="0.25">
      <c r="A259" s="15"/>
    </row>
    <row r="260" spans="1:1" ht="12.5" x14ac:dyDescent="0.25">
      <c r="A260" s="15"/>
    </row>
    <row r="261" spans="1:1" ht="12.5" x14ac:dyDescent="0.25">
      <c r="A261" s="15"/>
    </row>
    <row r="262" spans="1:1" ht="12.5" x14ac:dyDescent="0.25">
      <c r="A262" s="15"/>
    </row>
    <row r="263" spans="1:1" ht="12.5" x14ac:dyDescent="0.25">
      <c r="A263" s="15"/>
    </row>
    <row r="264" spans="1:1" ht="12.5" x14ac:dyDescent="0.25">
      <c r="A264" s="15"/>
    </row>
    <row r="265" spans="1:1" ht="12.5" x14ac:dyDescent="0.25">
      <c r="A265" s="15"/>
    </row>
    <row r="266" spans="1:1" ht="12.5" x14ac:dyDescent="0.25">
      <c r="A266" s="15"/>
    </row>
    <row r="267" spans="1:1" ht="12.5" x14ac:dyDescent="0.25">
      <c r="A267" s="15"/>
    </row>
    <row r="268" spans="1:1" ht="12.5" x14ac:dyDescent="0.25">
      <c r="A268" s="15"/>
    </row>
    <row r="269" spans="1:1" ht="12.5" x14ac:dyDescent="0.25">
      <c r="A269" s="15"/>
    </row>
    <row r="270" spans="1:1" ht="12.5" x14ac:dyDescent="0.25">
      <c r="A270" s="15"/>
    </row>
    <row r="271" spans="1:1" ht="12.5" x14ac:dyDescent="0.25">
      <c r="A271" s="15"/>
    </row>
    <row r="272" spans="1:1" ht="12.5" x14ac:dyDescent="0.25">
      <c r="A272" s="15"/>
    </row>
    <row r="273" spans="1:1" ht="12.5" x14ac:dyDescent="0.25">
      <c r="A273" s="15"/>
    </row>
    <row r="274" spans="1:1" ht="12.5" x14ac:dyDescent="0.25">
      <c r="A274" s="15"/>
    </row>
    <row r="275" spans="1:1" ht="12.5" x14ac:dyDescent="0.25">
      <c r="A275" s="15"/>
    </row>
    <row r="276" spans="1:1" ht="12.5" x14ac:dyDescent="0.25">
      <c r="A276" s="15"/>
    </row>
    <row r="277" spans="1:1" ht="12.5" x14ac:dyDescent="0.25">
      <c r="A277" s="15"/>
    </row>
    <row r="278" spans="1:1" ht="12.5" x14ac:dyDescent="0.25">
      <c r="A278" s="15"/>
    </row>
    <row r="279" spans="1:1" ht="12.5" x14ac:dyDescent="0.25">
      <c r="A279" s="15"/>
    </row>
    <row r="280" spans="1:1" ht="12.5" x14ac:dyDescent="0.25">
      <c r="A280" s="15"/>
    </row>
    <row r="281" spans="1:1" ht="12.5" x14ac:dyDescent="0.25">
      <c r="A281" s="15"/>
    </row>
    <row r="282" spans="1:1" ht="12.5" x14ac:dyDescent="0.25">
      <c r="A282" s="15"/>
    </row>
    <row r="283" spans="1:1" ht="12.5" x14ac:dyDescent="0.25">
      <c r="A283" s="15"/>
    </row>
    <row r="284" spans="1:1" ht="12.5" x14ac:dyDescent="0.25">
      <c r="A284" s="15"/>
    </row>
    <row r="285" spans="1:1" ht="12.5" x14ac:dyDescent="0.25">
      <c r="A285" s="15"/>
    </row>
    <row r="286" spans="1:1" ht="12.5" x14ac:dyDescent="0.25">
      <c r="A286" s="15"/>
    </row>
    <row r="287" spans="1:1" ht="12.5" x14ac:dyDescent="0.25">
      <c r="A287" s="15"/>
    </row>
    <row r="288" spans="1:1" ht="12.5" x14ac:dyDescent="0.25">
      <c r="A288" s="15"/>
    </row>
    <row r="289" spans="1:1" ht="12.5" x14ac:dyDescent="0.25">
      <c r="A289" s="15"/>
    </row>
    <row r="290" spans="1:1" ht="12.5" x14ac:dyDescent="0.25">
      <c r="A290" s="15"/>
    </row>
    <row r="291" spans="1:1" ht="12.5" x14ac:dyDescent="0.25">
      <c r="A291" s="15"/>
    </row>
    <row r="292" spans="1:1" ht="12.5" x14ac:dyDescent="0.25">
      <c r="A292" s="15"/>
    </row>
    <row r="293" spans="1:1" ht="12.5" x14ac:dyDescent="0.25">
      <c r="A293" s="15"/>
    </row>
    <row r="294" spans="1:1" ht="12.5" x14ac:dyDescent="0.25">
      <c r="A294" s="15"/>
    </row>
    <row r="295" spans="1:1" ht="12.5" x14ac:dyDescent="0.25">
      <c r="A295" s="15"/>
    </row>
    <row r="296" spans="1:1" ht="12.5" x14ac:dyDescent="0.25">
      <c r="A296" s="15"/>
    </row>
    <row r="297" spans="1:1" ht="12.5" x14ac:dyDescent="0.25">
      <c r="A297" s="15"/>
    </row>
    <row r="298" spans="1:1" ht="12.5" x14ac:dyDescent="0.25">
      <c r="A298" s="15"/>
    </row>
    <row r="299" spans="1:1" ht="12.5" x14ac:dyDescent="0.25">
      <c r="A299" s="15"/>
    </row>
    <row r="300" spans="1:1" ht="12.5" x14ac:dyDescent="0.25">
      <c r="A300" s="15"/>
    </row>
    <row r="301" spans="1:1" ht="12.5" x14ac:dyDescent="0.25">
      <c r="A301" s="15"/>
    </row>
    <row r="302" spans="1:1" ht="12.5" x14ac:dyDescent="0.25">
      <c r="A302" s="15"/>
    </row>
    <row r="303" spans="1:1" ht="12.5" x14ac:dyDescent="0.25">
      <c r="A303" s="15"/>
    </row>
    <row r="304" spans="1:1" ht="12.5" x14ac:dyDescent="0.25">
      <c r="A304" s="15"/>
    </row>
    <row r="305" spans="1:1" ht="12.5" x14ac:dyDescent="0.25">
      <c r="A305" s="15"/>
    </row>
    <row r="306" spans="1:1" ht="12.5" x14ac:dyDescent="0.25">
      <c r="A306" s="15"/>
    </row>
    <row r="307" spans="1:1" ht="12.5" x14ac:dyDescent="0.25">
      <c r="A307" s="15"/>
    </row>
    <row r="308" spans="1:1" ht="12.5" x14ac:dyDescent="0.25">
      <c r="A308" s="15"/>
    </row>
    <row r="309" spans="1:1" ht="12.5" x14ac:dyDescent="0.25">
      <c r="A309" s="15"/>
    </row>
    <row r="310" spans="1:1" ht="12.5" x14ac:dyDescent="0.25">
      <c r="A310" s="15"/>
    </row>
    <row r="311" spans="1:1" ht="12.5" x14ac:dyDescent="0.25">
      <c r="A311" s="15"/>
    </row>
    <row r="312" spans="1:1" ht="12.5" x14ac:dyDescent="0.25">
      <c r="A312" s="15"/>
    </row>
    <row r="313" spans="1:1" ht="12.5" x14ac:dyDescent="0.25">
      <c r="A313" s="15"/>
    </row>
    <row r="314" spans="1:1" ht="12.5" x14ac:dyDescent="0.25">
      <c r="A314" s="15"/>
    </row>
    <row r="315" spans="1:1" ht="12.5" x14ac:dyDescent="0.25">
      <c r="A315" s="15"/>
    </row>
    <row r="316" spans="1:1" ht="12.5" x14ac:dyDescent="0.25">
      <c r="A316" s="15"/>
    </row>
    <row r="317" spans="1:1" ht="12.5" x14ac:dyDescent="0.25">
      <c r="A317" s="15"/>
    </row>
    <row r="318" spans="1:1" ht="12.5" x14ac:dyDescent="0.25">
      <c r="A318" s="15"/>
    </row>
    <row r="319" spans="1:1" ht="12.5" x14ac:dyDescent="0.25">
      <c r="A319" s="15"/>
    </row>
    <row r="320" spans="1:1" ht="12.5" x14ac:dyDescent="0.25">
      <c r="A320" s="15"/>
    </row>
    <row r="321" spans="1:1" ht="12.5" x14ac:dyDescent="0.25">
      <c r="A321" s="15"/>
    </row>
    <row r="322" spans="1:1" ht="12.5" x14ac:dyDescent="0.25">
      <c r="A322" s="15"/>
    </row>
    <row r="323" spans="1:1" ht="12.5" x14ac:dyDescent="0.25">
      <c r="A323" s="15"/>
    </row>
    <row r="324" spans="1:1" ht="12.5" x14ac:dyDescent="0.25">
      <c r="A324" s="15"/>
    </row>
    <row r="325" spans="1:1" ht="12.5" x14ac:dyDescent="0.25">
      <c r="A325" s="15"/>
    </row>
    <row r="326" spans="1:1" ht="12.5" x14ac:dyDescent="0.25">
      <c r="A326" s="15"/>
    </row>
    <row r="327" spans="1:1" ht="12.5" x14ac:dyDescent="0.25">
      <c r="A327" s="15"/>
    </row>
    <row r="328" spans="1:1" ht="12.5" x14ac:dyDescent="0.25">
      <c r="A328" s="15"/>
    </row>
    <row r="329" spans="1:1" ht="12.5" x14ac:dyDescent="0.25">
      <c r="A329" s="15"/>
    </row>
    <row r="330" spans="1:1" ht="12.5" x14ac:dyDescent="0.25">
      <c r="A330" s="15"/>
    </row>
    <row r="331" spans="1:1" ht="12.5" x14ac:dyDescent="0.25">
      <c r="A331" s="15"/>
    </row>
    <row r="332" spans="1:1" ht="12.5" x14ac:dyDescent="0.25">
      <c r="A332" s="15"/>
    </row>
    <row r="333" spans="1:1" ht="12.5" x14ac:dyDescent="0.25">
      <c r="A333" s="15"/>
    </row>
    <row r="334" spans="1:1" ht="12.5" x14ac:dyDescent="0.25">
      <c r="A334" s="15"/>
    </row>
    <row r="335" spans="1:1" ht="12.5" x14ac:dyDescent="0.25">
      <c r="A335" s="15"/>
    </row>
    <row r="336" spans="1:1" ht="12.5" x14ac:dyDescent="0.25">
      <c r="A336" s="15"/>
    </row>
    <row r="337" spans="1:1" ht="12.5" x14ac:dyDescent="0.25">
      <c r="A337" s="15"/>
    </row>
    <row r="338" spans="1:1" ht="12.5" x14ac:dyDescent="0.25">
      <c r="A338" s="15"/>
    </row>
    <row r="339" spans="1:1" ht="12.5" x14ac:dyDescent="0.25">
      <c r="A339" s="15"/>
    </row>
    <row r="340" spans="1:1" ht="12.5" x14ac:dyDescent="0.25">
      <c r="A340" s="15"/>
    </row>
    <row r="341" spans="1:1" ht="12.5" x14ac:dyDescent="0.25">
      <c r="A341" s="15"/>
    </row>
    <row r="342" spans="1:1" ht="12.5" x14ac:dyDescent="0.25">
      <c r="A342" s="15"/>
    </row>
    <row r="343" spans="1:1" ht="12.5" x14ac:dyDescent="0.25">
      <c r="A343" s="15"/>
    </row>
    <row r="344" spans="1:1" ht="12.5" x14ac:dyDescent="0.25">
      <c r="A344" s="15"/>
    </row>
    <row r="345" spans="1:1" ht="12.5" x14ac:dyDescent="0.25">
      <c r="A345" s="15"/>
    </row>
    <row r="346" spans="1:1" ht="12.5" x14ac:dyDescent="0.25">
      <c r="A346" s="15"/>
    </row>
    <row r="347" spans="1:1" ht="12.5" x14ac:dyDescent="0.25">
      <c r="A347" s="15"/>
    </row>
    <row r="348" spans="1:1" ht="12.5" x14ac:dyDescent="0.25">
      <c r="A348" s="15"/>
    </row>
    <row r="349" spans="1:1" ht="12.5" x14ac:dyDescent="0.25">
      <c r="A349" s="15"/>
    </row>
    <row r="350" spans="1:1" ht="12.5" x14ac:dyDescent="0.25">
      <c r="A350" s="15"/>
    </row>
    <row r="351" spans="1:1" ht="12.5" x14ac:dyDescent="0.25">
      <c r="A351" s="15"/>
    </row>
    <row r="352" spans="1:1" ht="12.5" x14ac:dyDescent="0.25">
      <c r="A352" s="15"/>
    </row>
    <row r="353" spans="1:1" ht="12.5" x14ac:dyDescent="0.25">
      <c r="A353" s="15"/>
    </row>
    <row r="354" spans="1:1" ht="12.5" x14ac:dyDescent="0.25">
      <c r="A354" s="15"/>
    </row>
    <row r="355" spans="1:1" ht="12.5" x14ac:dyDescent="0.25">
      <c r="A355" s="15"/>
    </row>
    <row r="356" spans="1:1" ht="12.5" x14ac:dyDescent="0.25">
      <c r="A356" s="15"/>
    </row>
    <row r="357" spans="1:1" ht="12.5" x14ac:dyDescent="0.25">
      <c r="A357" s="15"/>
    </row>
    <row r="358" spans="1:1" ht="12.5" x14ac:dyDescent="0.25">
      <c r="A358" s="15"/>
    </row>
    <row r="359" spans="1:1" ht="12.5" x14ac:dyDescent="0.25">
      <c r="A359" s="15"/>
    </row>
    <row r="360" spans="1:1" ht="12.5" x14ac:dyDescent="0.25">
      <c r="A360" s="15"/>
    </row>
    <row r="361" spans="1:1" ht="12.5" x14ac:dyDescent="0.25">
      <c r="A361" s="15"/>
    </row>
    <row r="362" spans="1:1" ht="12.5" x14ac:dyDescent="0.25">
      <c r="A362" s="15"/>
    </row>
    <row r="363" spans="1:1" ht="12.5" x14ac:dyDescent="0.25">
      <c r="A363" s="15"/>
    </row>
    <row r="364" spans="1:1" ht="12.5" x14ac:dyDescent="0.25">
      <c r="A364" s="15"/>
    </row>
    <row r="365" spans="1:1" ht="12.5" x14ac:dyDescent="0.25">
      <c r="A365" s="15"/>
    </row>
    <row r="366" spans="1:1" ht="12.5" x14ac:dyDescent="0.25">
      <c r="A366" s="15"/>
    </row>
    <row r="367" spans="1:1" ht="12.5" x14ac:dyDescent="0.25">
      <c r="A367" s="15"/>
    </row>
    <row r="368" spans="1:1" ht="12.5" x14ac:dyDescent="0.25">
      <c r="A368" s="15"/>
    </row>
    <row r="369" spans="1:1" ht="12.5" x14ac:dyDescent="0.25">
      <c r="A369" s="15"/>
    </row>
    <row r="370" spans="1:1" ht="12.5" x14ac:dyDescent="0.25">
      <c r="A370" s="15"/>
    </row>
    <row r="371" spans="1:1" ht="12.5" x14ac:dyDescent="0.25">
      <c r="A371" s="15"/>
    </row>
    <row r="372" spans="1:1" ht="12.5" x14ac:dyDescent="0.25">
      <c r="A372" s="15"/>
    </row>
    <row r="373" spans="1:1" ht="12.5" x14ac:dyDescent="0.25">
      <c r="A373" s="15"/>
    </row>
    <row r="374" spans="1:1" ht="12.5" x14ac:dyDescent="0.25">
      <c r="A374" s="15"/>
    </row>
    <row r="375" spans="1:1" ht="12.5" x14ac:dyDescent="0.25">
      <c r="A375" s="15"/>
    </row>
    <row r="376" spans="1:1" ht="12.5" x14ac:dyDescent="0.25">
      <c r="A376" s="15"/>
    </row>
    <row r="377" spans="1:1" ht="12.5" x14ac:dyDescent="0.25">
      <c r="A377" s="15"/>
    </row>
    <row r="378" spans="1:1" ht="12.5" x14ac:dyDescent="0.25">
      <c r="A378" s="15"/>
    </row>
    <row r="379" spans="1:1" ht="12.5" x14ac:dyDescent="0.25">
      <c r="A379" s="15"/>
    </row>
    <row r="380" spans="1:1" ht="12.5" x14ac:dyDescent="0.25">
      <c r="A380" s="15"/>
    </row>
    <row r="381" spans="1:1" ht="12.5" x14ac:dyDescent="0.25">
      <c r="A381" s="15"/>
    </row>
    <row r="382" spans="1:1" ht="12.5" x14ac:dyDescent="0.25">
      <c r="A382" s="15"/>
    </row>
    <row r="383" spans="1:1" ht="12.5" x14ac:dyDescent="0.25">
      <c r="A383" s="15"/>
    </row>
    <row r="384" spans="1:1" ht="12.5" x14ac:dyDescent="0.25">
      <c r="A384" s="15"/>
    </row>
    <row r="385" spans="1:1" ht="12.5" x14ac:dyDescent="0.25">
      <c r="A385" s="15"/>
    </row>
    <row r="386" spans="1:1" ht="12.5" x14ac:dyDescent="0.25">
      <c r="A386" s="15"/>
    </row>
    <row r="387" spans="1:1" ht="12.5" x14ac:dyDescent="0.25">
      <c r="A387" s="15"/>
    </row>
    <row r="388" spans="1:1" ht="12.5" x14ac:dyDescent="0.25">
      <c r="A388" s="15"/>
    </row>
    <row r="389" spans="1:1" ht="12.5" x14ac:dyDescent="0.25">
      <c r="A389" s="15"/>
    </row>
    <row r="390" spans="1:1" ht="12.5" x14ac:dyDescent="0.25">
      <c r="A390" s="15"/>
    </row>
    <row r="391" spans="1:1" ht="12.5" x14ac:dyDescent="0.25">
      <c r="A391" s="15"/>
    </row>
    <row r="392" spans="1:1" ht="12.5" x14ac:dyDescent="0.25">
      <c r="A392" s="15"/>
    </row>
    <row r="393" spans="1:1" ht="12.5" x14ac:dyDescent="0.25">
      <c r="A393" s="15"/>
    </row>
    <row r="394" spans="1:1" ht="12.5" x14ac:dyDescent="0.25">
      <c r="A394" s="15"/>
    </row>
    <row r="395" spans="1:1" ht="12.5" x14ac:dyDescent="0.25">
      <c r="A395" s="15"/>
    </row>
    <row r="396" spans="1:1" ht="12.5" x14ac:dyDescent="0.25">
      <c r="A396" s="15"/>
    </row>
    <row r="397" spans="1:1" ht="12.5" x14ac:dyDescent="0.25">
      <c r="A397" s="15"/>
    </row>
    <row r="398" spans="1:1" ht="12.5" x14ac:dyDescent="0.25">
      <c r="A398" s="15"/>
    </row>
    <row r="399" spans="1:1" ht="12.5" x14ac:dyDescent="0.25">
      <c r="A399" s="15"/>
    </row>
    <row r="400" spans="1:1" ht="12.5" x14ac:dyDescent="0.25">
      <c r="A400" s="15"/>
    </row>
    <row r="401" spans="1:1" ht="12.5" x14ac:dyDescent="0.25">
      <c r="A401" s="15"/>
    </row>
    <row r="402" spans="1:1" ht="12.5" x14ac:dyDescent="0.25">
      <c r="A402" s="15"/>
    </row>
    <row r="403" spans="1:1" ht="12.5" x14ac:dyDescent="0.25">
      <c r="A403" s="15"/>
    </row>
    <row r="404" spans="1:1" ht="12.5" x14ac:dyDescent="0.25">
      <c r="A404" s="15"/>
    </row>
    <row r="405" spans="1:1" ht="12.5" x14ac:dyDescent="0.25">
      <c r="A405" s="15"/>
    </row>
    <row r="406" spans="1:1" ht="12.5" x14ac:dyDescent="0.25">
      <c r="A406" s="15"/>
    </row>
    <row r="407" spans="1:1" ht="12.5" x14ac:dyDescent="0.25">
      <c r="A407" s="15"/>
    </row>
    <row r="408" spans="1:1" ht="12.5" x14ac:dyDescent="0.25">
      <c r="A408" s="15"/>
    </row>
    <row r="409" spans="1:1" ht="12.5" x14ac:dyDescent="0.25">
      <c r="A409" s="15"/>
    </row>
    <row r="410" spans="1:1" ht="12.5" x14ac:dyDescent="0.25">
      <c r="A410" s="15"/>
    </row>
    <row r="411" spans="1:1" ht="12.5" x14ac:dyDescent="0.25">
      <c r="A411" s="15"/>
    </row>
    <row r="412" spans="1:1" ht="12.5" x14ac:dyDescent="0.25">
      <c r="A412" s="15"/>
    </row>
    <row r="413" spans="1:1" ht="12.5" x14ac:dyDescent="0.25">
      <c r="A413" s="15"/>
    </row>
    <row r="414" spans="1:1" ht="12.5" x14ac:dyDescent="0.25">
      <c r="A414" s="15"/>
    </row>
    <row r="415" spans="1:1" ht="12.5" x14ac:dyDescent="0.25">
      <c r="A415" s="15"/>
    </row>
    <row r="416" spans="1:1" ht="12.5" x14ac:dyDescent="0.25">
      <c r="A416" s="15"/>
    </row>
    <row r="417" spans="1:1" ht="12.5" x14ac:dyDescent="0.25">
      <c r="A417" s="15"/>
    </row>
    <row r="418" spans="1:1" ht="12.5" x14ac:dyDescent="0.25">
      <c r="A418" s="15"/>
    </row>
    <row r="419" spans="1:1" ht="12.5" x14ac:dyDescent="0.25">
      <c r="A419" s="15"/>
    </row>
    <row r="420" spans="1:1" ht="12.5" x14ac:dyDescent="0.25">
      <c r="A420" s="15"/>
    </row>
    <row r="421" spans="1:1" ht="12.5" x14ac:dyDescent="0.25">
      <c r="A421" s="15"/>
    </row>
    <row r="422" spans="1:1" ht="12.5" x14ac:dyDescent="0.25">
      <c r="A422" s="15"/>
    </row>
    <row r="423" spans="1:1" ht="12.5" x14ac:dyDescent="0.25">
      <c r="A423" s="15"/>
    </row>
    <row r="424" spans="1:1" ht="12.5" x14ac:dyDescent="0.25">
      <c r="A424" s="15"/>
    </row>
    <row r="425" spans="1:1" ht="12.5" x14ac:dyDescent="0.25">
      <c r="A425" s="15"/>
    </row>
    <row r="426" spans="1:1" ht="12.5" x14ac:dyDescent="0.25">
      <c r="A426" s="15"/>
    </row>
    <row r="427" spans="1:1" ht="12.5" x14ac:dyDescent="0.25">
      <c r="A427" s="15"/>
    </row>
    <row r="428" spans="1:1" ht="12.5" x14ac:dyDescent="0.25">
      <c r="A428" s="15"/>
    </row>
    <row r="429" spans="1:1" ht="12.5" x14ac:dyDescent="0.25">
      <c r="A429" s="15"/>
    </row>
    <row r="430" spans="1:1" ht="12.5" x14ac:dyDescent="0.25">
      <c r="A430" s="15"/>
    </row>
    <row r="431" spans="1:1" ht="12.5" x14ac:dyDescent="0.25">
      <c r="A431" s="15"/>
    </row>
    <row r="432" spans="1:1" ht="12.5" x14ac:dyDescent="0.25">
      <c r="A432" s="15"/>
    </row>
    <row r="433" spans="1:1" ht="12.5" x14ac:dyDescent="0.25">
      <c r="A433" s="15"/>
    </row>
    <row r="434" spans="1:1" ht="12.5" x14ac:dyDescent="0.25">
      <c r="A434" s="15"/>
    </row>
    <row r="435" spans="1:1" ht="12.5" x14ac:dyDescent="0.25">
      <c r="A435" s="15"/>
    </row>
    <row r="436" spans="1:1" ht="12.5" x14ac:dyDescent="0.25">
      <c r="A436" s="15"/>
    </row>
    <row r="437" spans="1:1" ht="12.5" x14ac:dyDescent="0.25">
      <c r="A437" s="15"/>
    </row>
    <row r="438" spans="1:1" ht="12.5" x14ac:dyDescent="0.25">
      <c r="A438" s="15"/>
    </row>
    <row r="439" spans="1:1" ht="12.5" x14ac:dyDescent="0.25">
      <c r="A439" s="15"/>
    </row>
    <row r="440" spans="1:1" ht="12.5" x14ac:dyDescent="0.25">
      <c r="A440" s="15"/>
    </row>
    <row r="441" spans="1:1" ht="12.5" x14ac:dyDescent="0.25">
      <c r="A441" s="15"/>
    </row>
    <row r="442" spans="1:1" ht="12.5" x14ac:dyDescent="0.25">
      <c r="A442" s="15"/>
    </row>
    <row r="443" spans="1:1" ht="12.5" x14ac:dyDescent="0.25">
      <c r="A443" s="15"/>
    </row>
    <row r="444" spans="1:1" ht="12.5" x14ac:dyDescent="0.25">
      <c r="A444" s="15"/>
    </row>
    <row r="445" spans="1:1" ht="12.5" x14ac:dyDescent="0.25">
      <c r="A445" s="15"/>
    </row>
    <row r="446" spans="1:1" ht="12.5" x14ac:dyDescent="0.25">
      <c r="A446" s="15"/>
    </row>
    <row r="447" spans="1:1" ht="12.5" x14ac:dyDescent="0.25">
      <c r="A447" s="15"/>
    </row>
    <row r="448" spans="1:1" ht="12.5" x14ac:dyDescent="0.25">
      <c r="A448" s="15"/>
    </row>
    <row r="449" spans="1:1" ht="12.5" x14ac:dyDescent="0.25">
      <c r="A449" s="15"/>
    </row>
    <row r="450" spans="1:1" ht="12.5" x14ac:dyDescent="0.25">
      <c r="A450" s="15"/>
    </row>
    <row r="451" spans="1:1" ht="12.5" x14ac:dyDescent="0.25">
      <c r="A451" s="15"/>
    </row>
    <row r="452" spans="1:1" ht="12.5" x14ac:dyDescent="0.25">
      <c r="A452" s="15"/>
    </row>
    <row r="453" spans="1:1" ht="12.5" x14ac:dyDescent="0.25">
      <c r="A453" s="15"/>
    </row>
    <row r="454" spans="1:1" ht="12.5" x14ac:dyDescent="0.25">
      <c r="A454" s="15"/>
    </row>
    <row r="455" spans="1:1" ht="12.5" x14ac:dyDescent="0.25">
      <c r="A455" s="15"/>
    </row>
    <row r="456" spans="1:1" ht="12.5" x14ac:dyDescent="0.25">
      <c r="A456" s="15"/>
    </row>
    <row r="457" spans="1:1" ht="12.5" x14ac:dyDescent="0.25">
      <c r="A457" s="15"/>
    </row>
    <row r="458" spans="1:1" ht="12.5" x14ac:dyDescent="0.25">
      <c r="A458" s="15"/>
    </row>
    <row r="459" spans="1:1" ht="12.5" x14ac:dyDescent="0.25">
      <c r="A459" s="15"/>
    </row>
    <row r="460" spans="1:1" ht="12.5" x14ac:dyDescent="0.25">
      <c r="A460" s="15"/>
    </row>
    <row r="461" spans="1:1" ht="12.5" x14ac:dyDescent="0.25">
      <c r="A461" s="15"/>
    </row>
    <row r="462" spans="1:1" ht="12.5" x14ac:dyDescent="0.25">
      <c r="A462" s="15"/>
    </row>
    <row r="463" spans="1:1" ht="12.5" x14ac:dyDescent="0.25">
      <c r="A463" s="15"/>
    </row>
    <row r="464" spans="1:1" ht="12.5" x14ac:dyDescent="0.25">
      <c r="A464" s="15"/>
    </row>
    <row r="465" spans="1:1" ht="12.5" x14ac:dyDescent="0.25">
      <c r="A465" s="15"/>
    </row>
    <row r="466" spans="1:1" ht="12.5" x14ac:dyDescent="0.25">
      <c r="A466" s="15"/>
    </row>
    <row r="467" spans="1:1" ht="12.5" x14ac:dyDescent="0.25">
      <c r="A467" s="15"/>
    </row>
    <row r="468" spans="1:1" ht="12.5" x14ac:dyDescent="0.25">
      <c r="A468" s="15"/>
    </row>
    <row r="469" spans="1:1" ht="12.5" x14ac:dyDescent="0.25">
      <c r="A469" s="15"/>
    </row>
    <row r="470" spans="1:1" ht="12.5" x14ac:dyDescent="0.25">
      <c r="A470" s="15"/>
    </row>
    <row r="471" spans="1:1" ht="12.5" x14ac:dyDescent="0.25">
      <c r="A471" s="15"/>
    </row>
    <row r="472" spans="1:1" ht="12.5" x14ac:dyDescent="0.25">
      <c r="A472" s="15"/>
    </row>
    <row r="473" spans="1:1" ht="12.5" x14ac:dyDescent="0.25">
      <c r="A473" s="15"/>
    </row>
    <row r="474" spans="1:1" ht="12.5" x14ac:dyDescent="0.25">
      <c r="A474" s="15"/>
    </row>
    <row r="475" spans="1:1" ht="12.5" x14ac:dyDescent="0.25">
      <c r="A475" s="15"/>
    </row>
    <row r="476" spans="1:1" ht="12.5" x14ac:dyDescent="0.25">
      <c r="A476" s="15"/>
    </row>
    <row r="477" spans="1:1" ht="12.5" x14ac:dyDescent="0.25">
      <c r="A477" s="15"/>
    </row>
    <row r="478" spans="1:1" ht="12.5" x14ac:dyDescent="0.25">
      <c r="A478" s="15"/>
    </row>
    <row r="479" spans="1:1" ht="12.5" x14ac:dyDescent="0.25">
      <c r="A479" s="15"/>
    </row>
    <row r="480" spans="1:1" ht="12.5" x14ac:dyDescent="0.25">
      <c r="A480" s="15"/>
    </row>
    <row r="481" spans="1:1" ht="12.5" x14ac:dyDescent="0.25">
      <c r="A481" s="15"/>
    </row>
    <row r="482" spans="1:1" ht="12.5" x14ac:dyDescent="0.25">
      <c r="A482" s="15"/>
    </row>
    <row r="483" spans="1:1" ht="12.5" x14ac:dyDescent="0.25">
      <c r="A483" s="15"/>
    </row>
    <row r="484" spans="1:1" ht="12.5" x14ac:dyDescent="0.25">
      <c r="A484" s="15"/>
    </row>
    <row r="485" spans="1:1" ht="12.5" x14ac:dyDescent="0.25">
      <c r="A485" s="15"/>
    </row>
    <row r="486" spans="1:1" ht="12.5" x14ac:dyDescent="0.25">
      <c r="A486" s="15"/>
    </row>
    <row r="487" spans="1:1" ht="12.5" x14ac:dyDescent="0.25">
      <c r="A487" s="15"/>
    </row>
    <row r="488" spans="1:1" ht="12.5" x14ac:dyDescent="0.25">
      <c r="A488" s="15"/>
    </row>
    <row r="489" spans="1:1" ht="12.5" x14ac:dyDescent="0.25">
      <c r="A489" s="15"/>
    </row>
    <row r="490" spans="1:1" ht="12.5" x14ac:dyDescent="0.25">
      <c r="A490" s="15"/>
    </row>
    <row r="491" spans="1:1" ht="12.5" x14ac:dyDescent="0.25">
      <c r="A491" s="15"/>
    </row>
    <row r="492" spans="1:1" ht="12.5" x14ac:dyDescent="0.25">
      <c r="A492" s="15"/>
    </row>
    <row r="493" spans="1:1" ht="12.5" x14ac:dyDescent="0.25">
      <c r="A493" s="15"/>
    </row>
    <row r="494" spans="1:1" ht="12.5" x14ac:dyDescent="0.25">
      <c r="A494" s="15"/>
    </row>
    <row r="495" spans="1:1" ht="12.5" x14ac:dyDescent="0.25">
      <c r="A495" s="15"/>
    </row>
    <row r="496" spans="1:1" ht="12.5" x14ac:dyDescent="0.25">
      <c r="A496" s="15"/>
    </row>
    <row r="497" spans="1:1" ht="12.5" x14ac:dyDescent="0.25">
      <c r="A497" s="15"/>
    </row>
    <row r="498" spans="1:1" ht="12.5" x14ac:dyDescent="0.25">
      <c r="A498" s="15"/>
    </row>
    <row r="499" spans="1:1" ht="12.5" x14ac:dyDescent="0.25">
      <c r="A499" s="15"/>
    </row>
    <row r="500" spans="1:1" ht="12.5" x14ac:dyDescent="0.25">
      <c r="A500" s="15"/>
    </row>
    <row r="501" spans="1:1" ht="12.5" x14ac:dyDescent="0.25">
      <c r="A501" s="15"/>
    </row>
    <row r="502" spans="1:1" ht="12.5" x14ac:dyDescent="0.25">
      <c r="A502" s="15"/>
    </row>
    <row r="503" spans="1:1" ht="12.5" x14ac:dyDescent="0.25">
      <c r="A503" s="15"/>
    </row>
    <row r="504" spans="1:1" ht="12.5" x14ac:dyDescent="0.25">
      <c r="A504" s="15"/>
    </row>
    <row r="505" spans="1:1" ht="12.5" x14ac:dyDescent="0.25">
      <c r="A505" s="15"/>
    </row>
    <row r="506" spans="1:1" ht="12.5" x14ac:dyDescent="0.25">
      <c r="A506" s="15"/>
    </row>
    <row r="507" spans="1:1" ht="12.5" x14ac:dyDescent="0.25">
      <c r="A507" s="15"/>
    </row>
    <row r="508" spans="1:1" ht="12.5" x14ac:dyDescent="0.25">
      <c r="A508" s="15"/>
    </row>
    <row r="509" spans="1:1" ht="12.5" x14ac:dyDescent="0.25">
      <c r="A509" s="15"/>
    </row>
    <row r="510" spans="1:1" ht="12.5" x14ac:dyDescent="0.25">
      <c r="A510" s="15"/>
    </row>
    <row r="511" spans="1:1" ht="12.5" x14ac:dyDescent="0.25">
      <c r="A511" s="15"/>
    </row>
    <row r="512" spans="1:1" ht="12.5" x14ac:dyDescent="0.25">
      <c r="A512" s="15"/>
    </row>
    <row r="513" spans="1:1" ht="12.5" x14ac:dyDescent="0.25">
      <c r="A513" s="15"/>
    </row>
    <row r="514" spans="1:1" ht="12.5" x14ac:dyDescent="0.25">
      <c r="A514" s="15"/>
    </row>
    <row r="515" spans="1:1" ht="12.5" x14ac:dyDescent="0.25">
      <c r="A515" s="15"/>
    </row>
    <row r="516" spans="1:1" ht="12.5" x14ac:dyDescent="0.25">
      <c r="A516" s="15"/>
    </row>
    <row r="517" spans="1:1" ht="12.5" x14ac:dyDescent="0.25">
      <c r="A517" s="15"/>
    </row>
    <row r="518" spans="1:1" ht="12.5" x14ac:dyDescent="0.25">
      <c r="A518" s="15"/>
    </row>
    <row r="519" spans="1:1" ht="12.5" x14ac:dyDescent="0.25">
      <c r="A519" s="15"/>
    </row>
    <row r="520" spans="1:1" ht="12.5" x14ac:dyDescent="0.25">
      <c r="A520" s="15"/>
    </row>
    <row r="521" spans="1:1" ht="12.5" x14ac:dyDescent="0.25">
      <c r="A521" s="15"/>
    </row>
    <row r="522" spans="1:1" ht="12.5" x14ac:dyDescent="0.25">
      <c r="A522" s="15"/>
    </row>
    <row r="523" spans="1:1" ht="12.5" x14ac:dyDescent="0.25">
      <c r="A523" s="15"/>
    </row>
    <row r="524" spans="1:1" ht="12.5" x14ac:dyDescent="0.25">
      <c r="A524" s="15"/>
    </row>
    <row r="525" spans="1:1" ht="12.5" x14ac:dyDescent="0.25">
      <c r="A525" s="15"/>
    </row>
    <row r="526" spans="1:1" ht="12.5" x14ac:dyDescent="0.25">
      <c r="A526" s="15"/>
    </row>
    <row r="527" spans="1:1" ht="12.5" x14ac:dyDescent="0.25">
      <c r="A527" s="15"/>
    </row>
    <row r="528" spans="1:1" ht="12.5" x14ac:dyDescent="0.25">
      <c r="A528" s="15"/>
    </row>
    <row r="529" spans="1:1" ht="12.5" x14ac:dyDescent="0.25">
      <c r="A529" s="15"/>
    </row>
    <row r="530" spans="1:1" ht="12.5" x14ac:dyDescent="0.25">
      <c r="A530" s="15"/>
    </row>
    <row r="531" spans="1:1" ht="12.5" x14ac:dyDescent="0.25">
      <c r="A531" s="15"/>
    </row>
    <row r="532" spans="1:1" ht="12.5" x14ac:dyDescent="0.25">
      <c r="A532" s="15"/>
    </row>
    <row r="533" spans="1:1" ht="12.5" x14ac:dyDescent="0.25">
      <c r="A533" s="15"/>
    </row>
    <row r="534" spans="1:1" ht="12.5" x14ac:dyDescent="0.25">
      <c r="A534" s="15"/>
    </row>
    <row r="535" spans="1:1" ht="12.5" x14ac:dyDescent="0.25">
      <c r="A535" s="15"/>
    </row>
    <row r="536" spans="1:1" ht="12.5" x14ac:dyDescent="0.25">
      <c r="A536" s="15"/>
    </row>
    <row r="537" spans="1:1" ht="12.5" x14ac:dyDescent="0.25">
      <c r="A537" s="15"/>
    </row>
    <row r="538" spans="1:1" ht="12.5" x14ac:dyDescent="0.25">
      <c r="A538" s="15"/>
    </row>
    <row r="539" spans="1:1" ht="12.5" x14ac:dyDescent="0.25">
      <c r="A539" s="15"/>
    </row>
    <row r="540" spans="1:1" ht="12.5" x14ac:dyDescent="0.25">
      <c r="A540" s="15"/>
    </row>
    <row r="541" spans="1:1" ht="12.5" x14ac:dyDescent="0.25">
      <c r="A541" s="15"/>
    </row>
    <row r="542" spans="1:1" ht="12.5" x14ac:dyDescent="0.25">
      <c r="A542" s="15"/>
    </row>
    <row r="543" spans="1:1" ht="12.5" x14ac:dyDescent="0.25">
      <c r="A543" s="15"/>
    </row>
    <row r="544" spans="1:1" ht="12.5" x14ac:dyDescent="0.25">
      <c r="A544" s="15"/>
    </row>
    <row r="545" spans="1:1" ht="12.5" x14ac:dyDescent="0.25">
      <c r="A545" s="15"/>
    </row>
    <row r="546" spans="1:1" ht="12.5" x14ac:dyDescent="0.25">
      <c r="A546" s="15"/>
    </row>
    <row r="547" spans="1:1" ht="12.5" x14ac:dyDescent="0.25">
      <c r="A547" s="15"/>
    </row>
    <row r="548" spans="1:1" ht="12.5" x14ac:dyDescent="0.25">
      <c r="A548" s="15"/>
    </row>
    <row r="549" spans="1:1" ht="12.5" x14ac:dyDescent="0.25">
      <c r="A549" s="15"/>
    </row>
    <row r="550" spans="1:1" ht="12.5" x14ac:dyDescent="0.25">
      <c r="A550" s="15"/>
    </row>
    <row r="551" spans="1:1" ht="12.5" x14ac:dyDescent="0.25">
      <c r="A551" s="15"/>
    </row>
    <row r="552" spans="1:1" ht="12.5" x14ac:dyDescent="0.25">
      <c r="A552" s="15"/>
    </row>
    <row r="553" spans="1:1" ht="12.5" x14ac:dyDescent="0.25">
      <c r="A553" s="15"/>
    </row>
    <row r="554" spans="1:1" ht="12.5" x14ac:dyDescent="0.25">
      <c r="A554" s="15"/>
    </row>
    <row r="555" spans="1:1" ht="12.5" x14ac:dyDescent="0.25">
      <c r="A555" s="15"/>
    </row>
    <row r="556" spans="1:1" ht="12.5" x14ac:dyDescent="0.25">
      <c r="A556" s="15"/>
    </row>
    <row r="557" spans="1:1" ht="12.5" x14ac:dyDescent="0.25">
      <c r="A557" s="15"/>
    </row>
    <row r="558" spans="1:1" ht="12.5" x14ac:dyDescent="0.25">
      <c r="A558" s="15"/>
    </row>
    <row r="559" spans="1:1" ht="12.5" x14ac:dyDescent="0.25">
      <c r="A559" s="15"/>
    </row>
    <row r="560" spans="1:1" ht="12.5" x14ac:dyDescent="0.25">
      <c r="A560" s="15"/>
    </row>
    <row r="561" spans="1:1" ht="12.5" x14ac:dyDescent="0.25">
      <c r="A561" s="15"/>
    </row>
    <row r="562" spans="1:1" ht="12.5" x14ac:dyDescent="0.25">
      <c r="A562" s="15"/>
    </row>
    <row r="563" spans="1:1" ht="12.5" x14ac:dyDescent="0.25">
      <c r="A563" s="15"/>
    </row>
    <row r="564" spans="1:1" ht="12.5" x14ac:dyDescent="0.25">
      <c r="A564" s="15"/>
    </row>
    <row r="565" spans="1:1" ht="12.5" x14ac:dyDescent="0.25">
      <c r="A565" s="15"/>
    </row>
    <row r="566" spans="1:1" ht="12.5" x14ac:dyDescent="0.25">
      <c r="A566" s="15"/>
    </row>
    <row r="567" spans="1:1" ht="12.5" x14ac:dyDescent="0.25">
      <c r="A567" s="15"/>
    </row>
    <row r="568" spans="1:1" ht="12.5" x14ac:dyDescent="0.25">
      <c r="A568" s="15"/>
    </row>
    <row r="569" spans="1:1" ht="12.5" x14ac:dyDescent="0.25">
      <c r="A569" s="15"/>
    </row>
    <row r="570" spans="1:1" ht="12.5" x14ac:dyDescent="0.25">
      <c r="A570" s="15"/>
    </row>
    <row r="571" spans="1:1" ht="12.5" x14ac:dyDescent="0.25">
      <c r="A571" s="15"/>
    </row>
    <row r="572" spans="1:1" ht="12.5" x14ac:dyDescent="0.25">
      <c r="A572" s="15"/>
    </row>
    <row r="573" spans="1:1" ht="12.5" x14ac:dyDescent="0.25">
      <c r="A573" s="15"/>
    </row>
    <row r="574" spans="1:1" ht="12.5" x14ac:dyDescent="0.25">
      <c r="A574" s="15"/>
    </row>
    <row r="575" spans="1:1" ht="12.5" x14ac:dyDescent="0.25">
      <c r="A575" s="15"/>
    </row>
    <row r="576" spans="1:1" ht="12.5" x14ac:dyDescent="0.25">
      <c r="A576" s="15"/>
    </row>
    <row r="577" spans="1:1" ht="12.5" x14ac:dyDescent="0.25">
      <c r="A577" s="15"/>
    </row>
    <row r="578" spans="1:1" ht="12.5" x14ac:dyDescent="0.25">
      <c r="A578" s="15"/>
    </row>
    <row r="579" spans="1:1" ht="12.5" x14ac:dyDescent="0.25">
      <c r="A579" s="15"/>
    </row>
    <row r="580" spans="1:1" ht="12.5" x14ac:dyDescent="0.25">
      <c r="A580" s="15"/>
    </row>
    <row r="581" spans="1:1" ht="12.5" x14ac:dyDescent="0.25">
      <c r="A581" s="15"/>
    </row>
    <row r="582" spans="1:1" ht="12.5" x14ac:dyDescent="0.25">
      <c r="A582" s="15"/>
    </row>
    <row r="583" spans="1:1" ht="12.5" x14ac:dyDescent="0.25">
      <c r="A583" s="15"/>
    </row>
    <row r="584" spans="1:1" ht="12.5" x14ac:dyDescent="0.25">
      <c r="A584" s="15"/>
    </row>
    <row r="585" spans="1:1" ht="12.5" x14ac:dyDescent="0.25">
      <c r="A585" s="15"/>
    </row>
    <row r="586" spans="1:1" ht="12.5" x14ac:dyDescent="0.25">
      <c r="A586" s="15"/>
    </row>
    <row r="587" spans="1:1" ht="12.5" x14ac:dyDescent="0.25">
      <c r="A587" s="15"/>
    </row>
    <row r="588" spans="1:1" ht="12.5" x14ac:dyDescent="0.25">
      <c r="A588" s="15"/>
    </row>
    <row r="589" spans="1:1" ht="12.5" x14ac:dyDescent="0.25">
      <c r="A589" s="15"/>
    </row>
    <row r="590" spans="1:1" ht="12.5" x14ac:dyDescent="0.25">
      <c r="A590" s="15"/>
    </row>
    <row r="591" spans="1:1" ht="12.5" x14ac:dyDescent="0.25">
      <c r="A591" s="15"/>
    </row>
    <row r="592" spans="1:1" ht="12.5" x14ac:dyDescent="0.25">
      <c r="A592" s="15"/>
    </row>
    <row r="593" spans="1:1" ht="12.5" x14ac:dyDescent="0.25">
      <c r="A593" s="15"/>
    </row>
    <row r="594" spans="1:1" ht="12.5" x14ac:dyDescent="0.25">
      <c r="A594" s="15"/>
    </row>
    <row r="595" spans="1:1" ht="12.5" x14ac:dyDescent="0.25">
      <c r="A595" s="15"/>
    </row>
    <row r="596" spans="1:1" ht="12.5" x14ac:dyDescent="0.25">
      <c r="A596" s="15"/>
    </row>
    <row r="597" spans="1:1" ht="12.5" x14ac:dyDescent="0.25">
      <c r="A597" s="15"/>
    </row>
    <row r="598" spans="1:1" ht="12.5" x14ac:dyDescent="0.25">
      <c r="A598" s="15"/>
    </row>
    <row r="599" spans="1:1" ht="12.5" x14ac:dyDescent="0.25">
      <c r="A599" s="15"/>
    </row>
    <row r="600" spans="1:1" ht="12.5" x14ac:dyDescent="0.25">
      <c r="A600" s="15"/>
    </row>
    <row r="601" spans="1:1" ht="12.5" x14ac:dyDescent="0.25">
      <c r="A601" s="15"/>
    </row>
    <row r="602" spans="1:1" ht="12.5" x14ac:dyDescent="0.25">
      <c r="A602" s="15"/>
    </row>
    <row r="603" spans="1:1" ht="12.5" x14ac:dyDescent="0.25">
      <c r="A603" s="15"/>
    </row>
    <row r="604" spans="1:1" ht="12.5" x14ac:dyDescent="0.25">
      <c r="A604" s="15"/>
    </row>
    <row r="605" spans="1:1" ht="12.5" x14ac:dyDescent="0.25">
      <c r="A605" s="15"/>
    </row>
    <row r="606" spans="1:1" ht="12.5" x14ac:dyDescent="0.25">
      <c r="A606" s="15"/>
    </row>
    <row r="607" spans="1:1" ht="12.5" x14ac:dyDescent="0.25">
      <c r="A607" s="15"/>
    </row>
    <row r="608" spans="1:1" ht="12.5" x14ac:dyDescent="0.25">
      <c r="A608" s="15"/>
    </row>
    <row r="609" spans="1:1" ht="12.5" x14ac:dyDescent="0.25">
      <c r="A609" s="15"/>
    </row>
    <row r="610" spans="1:1" ht="12.5" x14ac:dyDescent="0.25">
      <c r="A610" s="15"/>
    </row>
    <row r="611" spans="1:1" ht="12.5" x14ac:dyDescent="0.25">
      <c r="A611" s="15"/>
    </row>
    <row r="612" spans="1:1" ht="12.5" x14ac:dyDescent="0.25">
      <c r="A612" s="15"/>
    </row>
    <row r="613" spans="1:1" ht="12.5" x14ac:dyDescent="0.25">
      <c r="A613" s="15"/>
    </row>
    <row r="614" spans="1:1" ht="12.5" x14ac:dyDescent="0.25">
      <c r="A614" s="15"/>
    </row>
    <row r="615" spans="1:1" ht="12.5" x14ac:dyDescent="0.25">
      <c r="A615" s="15"/>
    </row>
    <row r="616" spans="1:1" ht="12.5" x14ac:dyDescent="0.25">
      <c r="A616" s="15"/>
    </row>
    <row r="617" spans="1:1" ht="12.5" x14ac:dyDescent="0.25">
      <c r="A617" s="15"/>
    </row>
    <row r="618" spans="1:1" ht="12.5" x14ac:dyDescent="0.25">
      <c r="A618" s="15"/>
    </row>
    <row r="619" spans="1:1" ht="12.5" x14ac:dyDescent="0.25">
      <c r="A619" s="15"/>
    </row>
    <row r="620" spans="1:1" ht="12.5" x14ac:dyDescent="0.25">
      <c r="A620" s="15"/>
    </row>
    <row r="621" spans="1:1" ht="12.5" x14ac:dyDescent="0.25">
      <c r="A621" s="15"/>
    </row>
    <row r="622" spans="1:1" ht="12.5" x14ac:dyDescent="0.25">
      <c r="A622" s="15"/>
    </row>
    <row r="623" spans="1:1" ht="12.5" x14ac:dyDescent="0.25">
      <c r="A623" s="15"/>
    </row>
    <row r="624" spans="1:1" ht="12.5" x14ac:dyDescent="0.25">
      <c r="A624" s="15"/>
    </row>
    <row r="625" spans="1:1" ht="12.5" x14ac:dyDescent="0.25">
      <c r="A625" s="15"/>
    </row>
    <row r="626" spans="1:1" ht="12.5" x14ac:dyDescent="0.25">
      <c r="A626" s="15"/>
    </row>
    <row r="627" spans="1:1" ht="12.5" x14ac:dyDescent="0.25">
      <c r="A627" s="15"/>
    </row>
    <row r="628" spans="1:1" ht="12.5" x14ac:dyDescent="0.25">
      <c r="A628" s="15"/>
    </row>
    <row r="629" spans="1:1" ht="12.5" x14ac:dyDescent="0.25">
      <c r="A629" s="15"/>
    </row>
    <row r="630" spans="1:1" ht="12.5" x14ac:dyDescent="0.25">
      <c r="A630" s="15"/>
    </row>
    <row r="631" spans="1:1" ht="12.5" x14ac:dyDescent="0.25">
      <c r="A631" s="15"/>
    </row>
    <row r="632" spans="1:1" ht="12.5" x14ac:dyDescent="0.25">
      <c r="A632" s="15"/>
    </row>
    <row r="633" spans="1:1" ht="12.5" x14ac:dyDescent="0.25">
      <c r="A633" s="15"/>
    </row>
    <row r="634" spans="1:1" ht="12.5" x14ac:dyDescent="0.25">
      <c r="A634" s="15"/>
    </row>
    <row r="635" spans="1:1" ht="12.5" x14ac:dyDescent="0.25">
      <c r="A635" s="15"/>
    </row>
    <row r="636" spans="1:1" ht="12.5" x14ac:dyDescent="0.25">
      <c r="A636" s="15"/>
    </row>
    <row r="637" spans="1:1" ht="12.5" x14ac:dyDescent="0.25">
      <c r="A637" s="15"/>
    </row>
    <row r="638" spans="1:1" ht="12.5" x14ac:dyDescent="0.25">
      <c r="A638" s="15"/>
    </row>
    <row r="639" spans="1:1" ht="12.5" x14ac:dyDescent="0.25">
      <c r="A639" s="15"/>
    </row>
    <row r="640" spans="1:1" ht="12.5" x14ac:dyDescent="0.25">
      <c r="A640" s="15"/>
    </row>
    <row r="641" spans="1:1" ht="12.5" x14ac:dyDescent="0.25">
      <c r="A641" s="15"/>
    </row>
    <row r="642" spans="1:1" ht="12.5" x14ac:dyDescent="0.25">
      <c r="A642" s="15"/>
    </row>
    <row r="643" spans="1:1" ht="12.5" x14ac:dyDescent="0.25">
      <c r="A643" s="15"/>
    </row>
    <row r="644" spans="1:1" ht="12.5" x14ac:dyDescent="0.25">
      <c r="A644" s="15"/>
    </row>
    <row r="645" spans="1:1" ht="12.5" x14ac:dyDescent="0.25">
      <c r="A645" s="15"/>
    </row>
    <row r="646" spans="1:1" ht="12.5" x14ac:dyDescent="0.25">
      <c r="A646" s="15"/>
    </row>
    <row r="647" spans="1:1" ht="12.5" x14ac:dyDescent="0.25">
      <c r="A647" s="15"/>
    </row>
    <row r="648" spans="1:1" ht="12.5" x14ac:dyDescent="0.25">
      <c r="A648" s="15"/>
    </row>
    <row r="649" spans="1:1" ht="12.5" x14ac:dyDescent="0.25">
      <c r="A649" s="15"/>
    </row>
    <row r="650" spans="1:1" ht="12.5" x14ac:dyDescent="0.25">
      <c r="A650" s="15"/>
    </row>
    <row r="651" spans="1:1" ht="12.5" x14ac:dyDescent="0.25">
      <c r="A651" s="15"/>
    </row>
    <row r="652" spans="1:1" ht="12.5" x14ac:dyDescent="0.25">
      <c r="A652" s="15"/>
    </row>
    <row r="653" spans="1:1" ht="12.5" x14ac:dyDescent="0.25">
      <c r="A653" s="15"/>
    </row>
    <row r="654" spans="1:1" ht="12.5" x14ac:dyDescent="0.25">
      <c r="A654" s="15"/>
    </row>
    <row r="655" spans="1:1" ht="12.5" x14ac:dyDescent="0.25">
      <c r="A655" s="15"/>
    </row>
    <row r="656" spans="1:1" ht="12.5" x14ac:dyDescent="0.25">
      <c r="A656" s="15"/>
    </row>
    <row r="657" spans="1:1" ht="12.5" x14ac:dyDescent="0.25">
      <c r="A657" s="15"/>
    </row>
    <row r="658" spans="1:1" ht="12.5" x14ac:dyDescent="0.25">
      <c r="A658" s="15"/>
    </row>
    <row r="659" spans="1:1" ht="12.5" x14ac:dyDescent="0.25">
      <c r="A659" s="15"/>
    </row>
    <row r="660" spans="1:1" ht="12.5" x14ac:dyDescent="0.25">
      <c r="A660" s="15"/>
    </row>
    <row r="661" spans="1:1" ht="12.5" x14ac:dyDescent="0.25">
      <c r="A661" s="15"/>
    </row>
    <row r="662" spans="1:1" ht="12.5" x14ac:dyDescent="0.25">
      <c r="A662" s="15"/>
    </row>
    <row r="663" spans="1:1" ht="12.5" x14ac:dyDescent="0.25">
      <c r="A663" s="15"/>
    </row>
    <row r="664" spans="1:1" ht="12.5" x14ac:dyDescent="0.25">
      <c r="A664" s="15"/>
    </row>
    <row r="665" spans="1:1" ht="12.5" x14ac:dyDescent="0.25">
      <c r="A665" s="15"/>
    </row>
    <row r="666" spans="1:1" ht="12.5" x14ac:dyDescent="0.25">
      <c r="A666" s="15"/>
    </row>
    <row r="667" spans="1:1" ht="12.5" x14ac:dyDescent="0.25">
      <c r="A667" s="15"/>
    </row>
    <row r="668" spans="1:1" ht="12.5" x14ac:dyDescent="0.25">
      <c r="A668" s="15"/>
    </row>
    <row r="669" spans="1:1" ht="12.5" x14ac:dyDescent="0.25">
      <c r="A669" s="15"/>
    </row>
    <row r="670" spans="1:1" ht="12.5" x14ac:dyDescent="0.25">
      <c r="A670" s="15"/>
    </row>
    <row r="671" spans="1:1" ht="12.5" x14ac:dyDescent="0.25">
      <c r="A671" s="15"/>
    </row>
    <row r="672" spans="1:1" ht="12.5" x14ac:dyDescent="0.25">
      <c r="A672" s="15"/>
    </row>
    <row r="673" spans="1:1" ht="12.5" x14ac:dyDescent="0.25">
      <c r="A673" s="15"/>
    </row>
    <row r="674" spans="1:1" ht="12.5" x14ac:dyDescent="0.25">
      <c r="A674" s="15"/>
    </row>
    <row r="675" spans="1:1" ht="12.5" x14ac:dyDescent="0.25">
      <c r="A675" s="15"/>
    </row>
    <row r="676" spans="1:1" ht="12.5" x14ac:dyDescent="0.25">
      <c r="A676" s="15"/>
    </row>
    <row r="677" spans="1:1" ht="12.5" x14ac:dyDescent="0.25">
      <c r="A677" s="15"/>
    </row>
    <row r="678" spans="1:1" ht="12.5" x14ac:dyDescent="0.25">
      <c r="A678" s="15"/>
    </row>
    <row r="679" spans="1:1" ht="12.5" x14ac:dyDescent="0.25">
      <c r="A679" s="15"/>
    </row>
    <row r="680" spans="1:1" ht="12.5" x14ac:dyDescent="0.25">
      <c r="A680" s="15"/>
    </row>
    <row r="681" spans="1:1" ht="12.5" x14ac:dyDescent="0.25">
      <c r="A681" s="15"/>
    </row>
    <row r="682" spans="1:1" ht="12.5" x14ac:dyDescent="0.25">
      <c r="A682" s="15"/>
    </row>
    <row r="683" spans="1:1" ht="12.5" x14ac:dyDescent="0.25">
      <c r="A683" s="15"/>
    </row>
    <row r="684" spans="1:1" ht="12.5" x14ac:dyDescent="0.25">
      <c r="A684" s="15"/>
    </row>
    <row r="685" spans="1:1" ht="12.5" x14ac:dyDescent="0.25">
      <c r="A685" s="15"/>
    </row>
    <row r="686" spans="1:1" ht="12.5" x14ac:dyDescent="0.25">
      <c r="A686" s="15"/>
    </row>
    <row r="687" spans="1:1" ht="12.5" x14ac:dyDescent="0.25">
      <c r="A687" s="15"/>
    </row>
    <row r="688" spans="1:1" ht="12.5" x14ac:dyDescent="0.25">
      <c r="A688" s="15"/>
    </row>
    <row r="689" spans="1:1" ht="12.5" x14ac:dyDescent="0.25">
      <c r="A689" s="15"/>
    </row>
    <row r="690" spans="1:1" ht="12.5" x14ac:dyDescent="0.25">
      <c r="A690" s="15"/>
    </row>
    <row r="691" spans="1:1" ht="12.5" x14ac:dyDescent="0.25">
      <c r="A691" s="15"/>
    </row>
    <row r="692" spans="1:1" ht="12.5" x14ac:dyDescent="0.25">
      <c r="A692" s="15"/>
    </row>
    <row r="693" spans="1:1" ht="12.5" x14ac:dyDescent="0.25">
      <c r="A693" s="15"/>
    </row>
    <row r="694" spans="1:1" ht="12.5" x14ac:dyDescent="0.25">
      <c r="A694" s="15"/>
    </row>
    <row r="695" spans="1:1" ht="12.5" x14ac:dyDescent="0.25">
      <c r="A695" s="15"/>
    </row>
    <row r="696" spans="1:1" ht="12.5" x14ac:dyDescent="0.25">
      <c r="A696" s="15"/>
    </row>
    <row r="697" spans="1:1" ht="12.5" x14ac:dyDescent="0.25">
      <c r="A697" s="15"/>
    </row>
    <row r="698" spans="1:1" ht="12.5" x14ac:dyDescent="0.25">
      <c r="A698" s="15"/>
    </row>
    <row r="699" spans="1:1" ht="12.5" x14ac:dyDescent="0.25">
      <c r="A699" s="15"/>
    </row>
    <row r="700" spans="1:1" ht="12.5" x14ac:dyDescent="0.25">
      <c r="A700" s="15"/>
    </row>
    <row r="701" spans="1:1" ht="12.5" x14ac:dyDescent="0.25">
      <c r="A701" s="15"/>
    </row>
    <row r="702" spans="1:1" ht="12.5" x14ac:dyDescent="0.25">
      <c r="A702" s="15"/>
    </row>
    <row r="703" spans="1:1" ht="12.5" x14ac:dyDescent="0.25">
      <c r="A703" s="15"/>
    </row>
    <row r="704" spans="1:1" ht="12.5" x14ac:dyDescent="0.25">
      <c r="A704" s="15"/>
    </row>
    <row r="705" spans="1:1" ht="12.5" x14ac:dyDescent="0.25">
      <c r="A705" s="15"/>
    </row>
    <row r="706" spans="1:1" ht="12.5" x14ac:dyDescent="0.25">
      <c r="A706" s="15"/>
    </row>
    <row r="707" spans="1:1" ht="12.5" x14ac:dyDescent="0.25">
      <c r="A707" s="15"/>
    </row>
    <row r="708" spans="1:1" ht="12.5" x14ac:dyDescent="0.25">
      <c r="A708" s="15"/>
    </row>
    <row r="709" spans="1:1" ht="12.5" x14ac:dyDescent="0.25">
      <c r="A709" s="15"/>
    </row>
    <row r="710" spans="1:1" ht="12.5" x14ac:dyDescent="0.25">
      <c r="A710" s="15"/>
    </row>
    <row r="711" spans="1:1" ht="12.5" x14ac:dyDescent="0.25">
      <c r="A711" s="15"/>
    </row>
    <row r="712" spans="1:1" ht="12.5" x14ac:dyDescent="0.25">
      <c r="A712" s="15"/>
    </row>
    <row r="713" spans="1:1" ht="12.5" x14ac:dyDescent="0.25">
      <c r="A713" s="15"/>
    </row>
    <row r="714" spans="1:1" ht="12.5" x14ac:dyDescent="0.25">
      <c r="A714" s="15"/>
    </row>
    <row r="715" spans="1:1" ht="12.5" x14ac:dyDescent="0.25">
      <c r="A715" s="15"/>
    </row>
    <row r="716" spans="1:1" ht="12.5" x14ac:dyDescent="0.25">
      <c r="A716" s="15"/>
    </row>
    <row r="717" spans="1:1" ht="12.5" x14ac:dyDescent="0.25">
      <c r="A717" s="15"/>
    </row>
    <row r="718" spans="1:1" ht="12.5" x14ac:dyDescent="0.25">
      <c r="A718" s="15"/>
    </row>
    <row r="719" spans="1:1" ht="12.5" x14ac:dyDescent="0.25">
      <c r="A719" s="15"/>
    </row>
    <row r="720" spans="1:1" ht="12.5" x14ac:dyDescent="0.25">
      <c r="A720" s="15"/>
    </row>
    <row r="721" spans="1:1" ht="12.5" x14ac:dyDescent="0.25">
      <c r="A721" s="15"/>
    </row>
    <row r="722" spans="1:1" ht="12.5" x14ac:dyDescent="0.25">
      <c r="A722" s="15"/>
    </row>
    <row r="723" spans="1:1" ht="12.5" x14ac:dyDescent="0.25">
      <c r="A723" s="15"/>
    </row>
    <row r="724" spans="1:1" ht="12.5" x14ac:dyDescent="0.25">
      <c r="A724" s="15"/>
    </row>
    <row r="725" spans="1:1" ht="12.5" x14ac:dyDescent="0.25">
      <c r="A725" s="15"/>
    </row>
    <row r="726" spans="1:1" ht="12.5" x14ac:dyDescent="0.25">
      <c r="A726" s="15"/>
    </row>
    <row r="727" spans="1:1" ht="12.5" x14ac:dyDescent="0.25">
      <c r="A727" s="15"/>
    </row>
    <row r="728" spans="1:1" ht="12.5" x14ac:dyDescent="0.25">
      <c r="A728" s="15"/>
    </row>
    <row r="729" spans="1:1" ht="12.5" x14ac:dyDescent="0.25">
      <c r="A729" s="15"/>
    </row>
    <row r="730" spans="1:1" ht="12.5" x14ac:dyDescent="0.25">
      <c r="A730" s="15"/>
    </row>
    <row r="731" spans="1:1" ht="12.5" x14ac:dyDescent="0.25">
      <c r="A731" s="15"/>
    </row>
    <row r="732" spans="1:1" ht="12.5" x14ac:dyDescent="0.25">
      <c r="A732" s="15"/>
    </row>
    <row r="733" spans="1:1" ht="12.5" x14ac:dyDescent="0.25">
      <c r="A733" s="15"/>
    </row>
    <row r="734" spans="1:1" ht="12.5" x14ac:dyDescent="0.25">
      <c r="A734" s="15"/>
    </row>
    <row r="735" spans="1:1" ht="12.5" x14ac:dyDescent="0.25">
      <c r="A735" s="15"/>
    </row>
    <row r="736" spans="1:1" ht="12.5" x14ac:dyDescent="0.25">
      <c r="A736" s="15"/>
    </row>
    <row r="737" spans="1:1" ht="12.5" x14ac:dyDescent="0.25">
      <c r="A737" s="15"/>
    </row>
    <row r="738" spans="1:1" ht="12.5" x14ac:dyDescent="0.25">
      <c r="A738" s="15"/>
    </row>
    <row r="739" spans="1:1" ht="12.5" x14ac:dyDescent="0.25">
      <c r="A739" s="15"/>
    </row>
    <row r="740" spans="1:1" ht="12.5" x14ac:dyDescent="0.25">
      <c r="A740" s="15"/>
    </row>
    <row r="741" spans="1:1" ht="12.5" x14ac:dyDescent="0.25">
      <c r="A741" s="15"/>
    </row>
    <row r="742" spans="1:1" ht="12.5" x14ac:dyDescent="0.25">
      <c r="A742" s="15"/>
    </row>
    <row r="743" spans="1:1" ht="12.5" x14ac:dyDescent="0.25">
      <c r="A743" s="15"/>
    </row>
    <row r="744" spans="1:1" ht="12.5" x14ac:dyDescent="0.25">
      <c r="A744" s="15"/>
    </row>
    <row r="745" spans="1:1" ht="12.5" x14ac:dyDescent="0.25">
      <c r="A745" s="15"/>
    </row>
    <row r="746" spans="1:1" ht="12.5" x14ac:dyDescent="0.25">
      <c r="A746" s="15"/>
    </row>
    <row r="747" spans="1:1" ht="12.5" x14ac:dyDescent="0.25">
      <c r="A747" s="15"/>
    </row>
    <row r="748" spans="1:1" ht="12.5" x14ac:dyDescent="0.25">
      <c r="A748" s="15"/>
    </row>
    <row r="749" spans="1:1" ht="12.5" x14ac:dyDescent="0.25">
      <c r="A749" s="15"/>
    </row>
    <row r="750" spans="1:1" ht="12.5" x14ac:dyDescent="0.25">
      <c r="A750" s="15"/>
    </row>
    <row r="751" spans="1:1" ht="12.5" x14ac:dyDescent="0.25">
      <c r="A751" s="15"/>
    </row>
    <row r="752" spans="1:1" ht="12.5" x14ac:dyDescent="0.25">
      <c r="A752" s="15"/>
    </row>
    <row r="753" spans="1:1" ht="12.5" x14ac:dyDescent="0.25">
      <c r="A753" s="15"/>
    </row>
    <row r="754" spans="1:1" ht="12.5" x14ac:dyDescent="0.25">
      <c r="A754" s="15"/>
    </row>
    <row r="755" spans="1:1" ht="12.5" x14ac:dyDescent="0.25">
      <c r="A755" s="15"/>
    </row>
    <row r="756" spans="1:1" ht="12.5" x14ac:dyDescent="0.25">
      <c r="A756" s="15"/>
    </row>
    <row r="757" spans="1:1" ht="12.5" x14ac:dyDescent="0.25">
      <c r="A757" s="15"/>
    </row>
    <row r="758" spans="1:1" ht="12.5" x14ac:dyDescent="0.25">
      <c r="A758" s="15"/>
    </row>
    <row r="759" spans="1:1" ht="12.5" x14ac:dyDescent="0.25">
      <c r="A759" s="15"/>
    </row>
    <row r="760" spans="1:1" ht="12.5" x14ac:dyDescent="0.25">
      <c r="A760" s="15"/>
    </row>
    <row r="761" spans="1:1" ht="12.5" x14ac:dyDescent="0.25">
      <c r="A761" s="15"/>
    </row>
    <row r="762" spans="1:1" ht="12.5" x14ac:dyDescent="0.25">
      <c r="A762" s="15"/>
    </row>
    <row r="763" spans="1:1" ht="12.5" x14ac:dyDescent="0.25">
      <c r="A763" s="15"/>
    </row>
    <row r="764" spans="1:1" ht="12.5" x14ac:dyDescent="0.25">
      <c r="A764" s="15"/>
    </row>
    <row r="765" spans="1:1" ht="12.5" x14ac:dyDescent="0.25">
      <c r="A765" s="15"/>
    </row>
    <row r="766" spans="1:1" ht="12.5" x14ac:dyDescent="0.25">
      <c r="A766" s="15"/>
    </row>
    <row r="767" spans="1:1" ht="12.5" x14ac:dyDescent="0.25">
      <c r="A767" s="15"/>
    </row>
    <row r="768" spans="1:1" ht="12.5" x14ac:dyDescent="0.25">
      <c r="A768" s="15"/>
    </row>
    <row r="769" spans="1:1" ht="12.5" x14ac:dyDescent="0.25">
      <c r="A769" s="15"/>
    </row>
    <row r="770" spans="1:1" ht="12.5" x14ac:dyDescent="0.25">
      <c r="A770" s="15"/>
    </row>
    <row r="771" spans="1:1" ht="12.5" x14ac:dyDescent="0.25">
      <c r="A771" s="15"/>
    </row>
    <row r="772" spans="1:1" ht="12.5" x14ac:dyDescent="0.25">
      <c r="A772" s="15"/>
    </row>
    <row r="773" spans="1:1" ht="12.5" x14ac:dyDescent="0.25">
      <c r="A773" s="15"/>
    </row>
    <row r="774" spans="1:1" ht="12.5" x14ac:dyDescent="0.25">
      <c r="A774" s="15"/>
    </row>
    <row r="775" spans="1:1" ht="12.5" x14ac:dyDescent="0.25">
      <c r="A775" s="15"/>
    </row>
    <row r="776" spans="1:1" ht="12.5" x14ac:dyDescent="0.25">
      <c r="A776" s="15"/>
    </row>
    <row r="777" spans="1:1" ht="12.5" x14ac:dyDescent="0.25">
      <c r="A777" s="15"/>
    </row>
    <row r="778" spans="1:1" ht="12.5" x14ac:dyDescent="0.25">
      <c r="A778" s="15"/>
    </row>
    <row r="779" spans="1:1" ht="12.5" x14ac:dyDescent="0.25">
      <c r="A779" s="15"/>
    </row>
    <row r="780" spans="1:1" ht="12.5" x14ac:dyDescent="0.25">
      <c r="A780" s="15"/>
    </row>
    <row r="781" spans="1:1" ht="12.5" x14ac:dyDescent="0.25">
      <c r="A781" s="15"/>
    </row>
    <row r="782" spans="1:1" ht="12.5" x14ac:dyDescent="0.25">
      <c r="A782" s="15"/>
    </row>
    <row r="783" spans="1:1" ht="12.5" x14ac:dyDescent="0.25">
      <c r="A783" s="15"/>
    </row>
    <row r="784" spans="1:1" ht="12.5" x14ac:dyDescent="0.25">
      <c r="A784" s="15"/>
    </row>
    <row r="785" spans="1:1" ht="12.5" x14ac:dyDescent="0.25">
      <c r="A785" s="15"/>
    </row>
    <row r="786" spans="1:1" ht="12.5" x14ac:dyDescent="0.25">
      <c r="A786" s="15"/>
    </row>
    <row r="787" spans="1:1" ht="12.5" x14ac:dyDescent="0.25">
      <c r="A787" s="15"/>
    </row>
    <row r="788" spans="1:1" ht="12.5" x14ac:dyDescent="0.25">
      <c r="A788" s="15"/>
    </row>
    <row r="789" spans="1:1" ht="12.5" x14ac:dyDescent="0.25">
      <c r="A789" s="15"/>
    </row>
    <row r="790" spans="1:1" ht="12.5" x14ac:dyDescent="0.25">
      <c r="A790" s="15"/>
    </row>
    <row r="791" spans="1:1" ht="12.5" x14ac:dyDescent="0.25">
      <c r="A791" s="15"/>
    </row>
    <row r="792" spans="1:1" ht="12.5" x14ac:dyDescent="0.25">
      <c r="A792" s="15"/>
    </row>
    <row r="793" spans="1:1" ht="12.5" x14ac:dyDescent="0.25">
      <c r="A793" s="15"/>
    </row>
    <row r="794" spans="1:1" ht="12.5" x14ac:dyDescent="0.25">
      <c r="A794" s="15"/>
    </row>
    <row r="795" spans="1:1" ht="12.5" x14ac:dyDescent="0.25">
      <c r="A795" s="15"/>
    </row>
    <row r="796" spans="1:1" ht="12.5" x14ac:dyDescent="0.25">
      <c r="A796" s="15"/>
    </row>
    <row r="797" spans="1:1" ht="12.5" x14ac:dyDescent="0.25">
      <c r="A797" s="15"/>
    </row>
    <row r="798" spans="1:1" ht="12.5" x14ac:dyDescent="0.25">
      <c r="A798" s="15"/>
    </row>
    <row r="799" spans="1:1" ht="12.5" x14ac:dyDescent="0.25">
      <c r="A799" s="15"/>
    </row>
    <row r="800" spans="1:1" ht="12.5" x14ac:dyDescent="0.25">
      <c r="A800" s="15"/>
    </row>
    <row r="801" spans="1:1" ht="12.5" x14ac:dyDescent="0.25">
      <c r="A801" s="15"/>
    </row>
    <row r="802" spans="1:1" ht="12.5" x14ac:dyDescent="0.25">
      <c r="A802" s="15"/>
    </row>
    <row r="803" spans="1:1" ht="12.5" x14ac:dyDescent="0.25">
      <c r="A803" s="15"/>
    </row>
    <row r="804" spans="1:1" ht="12.5" x14ac:dyDescent="0.25">
      <c r="A804" s="15"/>
    </row>
    <row r="805" spans="1:1" ht="12.5" x14ac:dyDescent="0.25">
      <c r="A805" s="15"/>
    </row>
    <row r="806" spans="1:1" ht="12.5" x14ac:dyDescent="0.25">
      <c r="A806" s="15"/>
    </row>
    <row r="807" spans="1:1" ht="12.5" x14ac:dyDescent="0.25">
      <c r="A807" s="15"/>
    </row>
    <row r="808" spans="1:1" ht="12.5" x14ac:dyDescent="0.25">
      <c r="A808" s="15"/>
    </row>
    <row r="809" spans="1:1" ht="12.5" x14ac:dyDescent="0.25">
      <c r="A809" s="15"/>
    </row>
    <row r="810" spans="1:1" ht="12.5" x14ac:dyDescent="0.25">
      <c r="A810" s="15"/>
    </row>
    <row r="811" spans="1:1" ht="12.5" x14ac:dyDescent="0.25">
      <c r="A811" s="15"/>
    </row>
    <row r="812" spans="1:1" ht="12.5" x14ac:dyDescent="0.25">
      <c r="A812" s="15"/>
    </row>
    <row r="813" spans="1:1" ht="12.5" x14ac:dyDescent="0.25">
      <c r="A813" s="15"/>
    </row>
    <row r="814" spans="1:1" ht="12.5" x14ac:dyDescent="0.25">
      <c r="A814" s="15"/>
    </row>
    <row r="815" spans="1:1" ht="12.5" x14ac:dyDescent="0.25">
      <c r="A815" s="15"/>
    </row>
    <row r="816" spans="1:1" ht="12.5" x14ac:dyDescent="0.25">
      <c r="A816" s="15"/>
    </row>
    <row r="817" spans="1:1" ht="12.5" x14ac:dyDescent="0.25">
      <c r="A817" s="15"/>
    </row>
    <row r="818" spans="1:1" ht="12.5" x14ac:dyDescent="0.25">
      <c r="A818" s="15"/>
    </row>
    <row r="819" spans="1:1" ht="12.5" x14ac:dyDescent="0.25">
      <c r="A819" s="15"/>
    </row>
    <row r="820" spans="1:1" ht="12.5" x14ac:dyDescent="0.25">
      <c r="A820" s="15"/>
    </row>
    <row r="821" spans="1:1" ht="12.5" x14ac:dyDescent="0.25">
      <c r="A821" s="15"/>
    </row>
    <row r="822" spans="1:1" ht="12.5" x14ac:dyDescent="0.25">
      <c r="A822" s="15"/>
    </row>
    <row r="823" spans="1:1" ht="12.5" x14ac:dyDescent="0.25">
      <c r="A823" s="15"/>
    </row>
    <row r="824" spans="1:1" ht="12.5" x14ac:dyDescent="0.25">
      <c r="A824" s="15"/>
    </row>
    <row r="825" spans="1:1" ht="12.5" x14ac:dyDescent="0.25">
      <c r="A825" s="15"/>
    </row>
    <row r="826" spans="1:1" ht="12.5" x14ac:dyDescent="0.25">
      <c r="A826" s="15"/>
    </row>
    <row r="827" spans="1:1" ht="12.5" x14ac:dyDescent="0.25">
      <c r="A827" s="15"/>
    </row>
    <row r="828" spans="1:1" ht="12.5" x14ac:dyDescent="0.25">
      <c r="A828" s="15"/>
    </row>
    <row r="829" spans="1:1" ht="12.5" x14ac:dyDescent="0.25">
      <c r="A829" s="15"/>
    </row>
    <row r="830" spans="1:1" ht="12.5" x14ac:dyDescent="0.25">
      <c r="A830" s="15"/>
    </row>
    <row r="831" spans="1:1" ht="12.5" x14ac:dyDescent="0.25">
      <c r="A831" s="15"/>
    </row>
    <row r="832" spans="1:1" ht="12.5" x14ac:dyDescent="0.25">
      <c r="A832" s="15"/>
    </row>
    <row r="833" spans="1:1" ht="12.5" x14ac:dyDescent="0.25">
      <c r="A833" s="15"/>
    </row>
    <row r="834" spans="1:1" ht="12.5" x14ac:dyDescent="0.25">
      <c r="A834" s="15"/>
    </row>
    <row r="835" spans="1:1" ht="12.5" x14ac:dyDescent="0.25">
      <c r="A835" s="15"/>
    </row>
    <row r="836" spans="1:1" ht="12.5" x14ac:dyDescent="0.25">
      <c r="A836" s="15"/>
    </row>
    <row r="837" spans="1:1" ht="12.5" x14ac:dyDescent="0.25">
      <c r="A837" s="15"/>
    </row>
    <row r="838" spans="1:1" ht="12.5" x14ac:dyDescent="0.25">
      <c r="A838" s="15"/>
    </row>
    <row r="839" spans="1:1" ht="12.5" x14ac:dyDescent="0.25">
      <c r="A839" s="15"/>
    </row>
    <row r="840" spans="1:1" ht="12.5" x14ac:dyDescent="0.25">
      <c r="A840" s="15"/>
    </row>
    <row r="841" spans="1:1" ht="12.5" x14ac:dyDescent="0.25">
      <c r="A841" s="15"/>
    </row>
    <row r="842" spans="1:1" ht="12.5" x14ac:dyDescent="0.25">
      <c r="A842" s="15"/>
    </row>
    <row r="843" spans="1:1" ht="12.5" x14ac:dyDescent="0.25">
      <c r="A843" s="15"/>
    </row>
    <row r="844" spans="1:1" ht="12.5" x14ac:dyDescent="0.25">
      <c r="A844" s="15"/>
    </row>
    <row r="845" spans="1:1" ht="12.5" x14ac:dyDescent="0.25">
      <c r="A845" s="15"/>
    </row>
    <row r="846" spans="1:1" ht="12.5" x14ac:dyDescent="0.25">
      <c r="A846" s="15"/>
    </row>
    <row r="847" spans="1:1" ht="12.5" x14ac:dyDescent="0.25">
      <c r="A847" s="15"/>
    </row>
    <row r="848" spans="1:1" ht="12.5" x14ac:dyDescent="0.25">
      <c r="A848" s="15"/>
    </row>
    <row r="849" spans="1:1" ht="12.5" x14ac:dyDescent="0.25">
      <c r="A849" s="15"/>
    </row>
    <row r="850" spans="1:1" ht="12.5" x14ac:dyDescent="0.25">
      <c r="A850" s="15"/>
    </row>
    <row r="851" spans="1:1" ht="12.5" x14ac:dyDescent="0.25">
      <c r="A851" s="15"/>
    </row>
    <row r="852" spans="1:1" ht="12.5" x14ac:dyDescent="0.25">
      <c r="A852" s="15"/>
    </row>
    <row r="853" spans="1:1" ht="12.5" x14ac:dyDescent="0.25">
      <c r="A853" s="15"/>
    </row>
    <row r="854" spans="1:1" ht="12.5" x14ac:dyDescent="0.25">
      <c r="A854" s="15"/>
    </row>
    <row r="855" spans="1:1" ht="12.5" x14ac:dyDescent="0.25">
      <c r="A855" s="15"/>
    </row>
    <row r="856" spans="1:1" ht="12.5" x14ac:dyDescent="0.25">
      <c r="A856" s="15"/>
    </row>
    <row r="857" spans="1:1" ht="12.5" x14ac:dyDescent="0.25">
      <c r="A857" s="15"/>
    </row>
    <row r="858" spans="1:1" ht="12.5" x14ac:dyDescent="0.25">
      <c r="A858" s="15"/>
    </row>
    <row r="859" spans="1:1" ht="12.5" x14ac:dyDescent="0.25">
      <c r="A859" s="15"/>
    </row>
    <row r="860" spans="1:1" ht="12.5" x14ac:dyDescent="0.25">
      <c r="A860" s="15"/>
    </row>
    <row r="861" spans="1:1" ht="12.5" x14ac:dyDescent="0.25">
      <c r="A861" s="15"/>
    </row>
    <row r="862" spans="1:1" ht="12.5" x14ac:dyDescent="0.25">
      <c r="A862" s="15"/>
    </row>
    <row r="863" spans="1:1" ht="12.5" x14ac:dyDescent="0.25">
      <c r="A863" s="15"/>
    </row>
    <row r="864" spans="1:1" ht="12.5" x14ac:dyDescent="0.25">
      <c r="A864" s="15"/>
    </row>
    <row r="865" spans="1:1" ht="12.5" x14ac:dyDescent="0.25">
      <c r="A865" s="15"/>
    </row>
    <row r="866" spans="1:1" ht="12.5" x14ac:dyDescent="0.25">
      <c r="A866" s="15"/>
    </row>
    <row r="867" spans="1:1" ht="12.5" x14ac:dyDescent="0.25">
      <c r="A867" s="15"/>
    </row>
    <row r="868" spans="1:1" ht="12.5" x14ac:dyDescent="0.25">
      <c r="A868" s="15"/>
    </row>
    <row r="869" spans="1:1" ht="12.5" x14ac:dyDescent="0.25">
      <c r="A869" s="15"/>
    </row>
    <row r="870" spans="1:1" ht="12.5" x14ac:dyDescent="0.25">
      <c r="A870" s="15"/>
    </row>
    <row r="871" spans="1:1" ht="12.5" x14ac:dyDescent="0.25">
      <c r="A871" s="15"/>
    </row>
    <row r="872" spans="1:1" ht="12.5" x14ac:dyDescent="0.25">
      <c r="A872" s="15"/>
    </row>
    <row r="873" spans="1:1" ht="12.5" x14ac:dyDescent="0.25">
      <c r="A873" s="15"/>
    </row>
    <row r="874" spans="1:1" ht="12.5" x14ac:dyDescent="0.25">
      <c r="A874" s="15"/>
    </row>
    <row r="875" spans="1:1" ht="12.5" x14ac:dyDescent="0.25">
      <c r="A875" s="15"/>
    </row>
    <row r="876" spans="1:1" ht="12.5" x14ac:dyDescent="0.25">
      <c r="A876" s="15"/>
    </row>
    <row r="877" spans="1:1" ht="12.5" x14ac:dyDescent="0.25">
      <c r="A877" s="15"/>
    </row>
    <row r="878" spans="1:1" ht="12.5" x14ac:dyDescent="0.25">
      <c r="A878" s="15"/>
    </row>
    <row r="879" spans="1:1" ht="12.5" x14ac:dyDescent="0.25">
      <c r="A879" s="15"/>
    </row>
    <row r="880" spans="1:1" ht="12.5" x14ac:dyDescent="0.25">
      <c r="A880" s="15"/>
    </row>
    <row r="881" spans="1:1" ht="12.5" x14ac:dyDescent="0.25">
      <c r="A881" s="15"/>
    </row>
    <row r="882" spans="1:1" ht="12.5" x14ac:dyDescent="0.25">
      <c r="A882" s="15"/>
    </row>
    <row r="883" spans="1:1" ht="12.5" x14ac:dyDescent="0.25">
      <c r="A883" s="15"/>
    </row>
    <row r="884" spans="1:1" ht="12.5" x14ac:dyDescent="0.25">
      <c r="A884" s="15"/>
    </row>
    <row r="885" spans="1:1" ht="12.5" x14ac:dyDescent="0.25">
      <c r="A885" s="15"/>
    </row>
    <row r="886" spans="1:1" ht="12.5" x14ac:dyDescent="0.25">
      <c r="A886" s="15"/>
    </row>
    <row r="887" spans="1:1" ht="12.5" x14ac:dyDescent="0.25">
      <c r="A887" s="15"/>
    </row>
    <row r="888" spans="1:1" ht="12.5" x14ac:dyDescent="0.25">
      <c r="A888" s="15"/>
    </row>
    <row r="889" spans="1:1" ht="12.5" x14ac:dyDescent="0.25">
      <c r="A889" s="15"/>
    </row>
    <row r="890" spans="1:1" ht="12.5" x14ac:dyDescent="0.25">
      <c r="A890" s="15"/>
    </row>
    <row r="891" spans="1:1" ht="12.5" x14ac:dyDescent="0.25">
      <c r="A891" s="15"/>
    </row>
    <row r="892" spans="1:1" ht="12.5" x14ac:dyDescent="0.25">
      <c r="A892" s="15"/>
    </row>
    <row r="893" spans="1:1" ht="12.5" x14ac:dyDescent="0.25">
      <c r="A893" s="15"/>
    </row>
    <row r="894" spans="1:1" ht="12.5" x14ac:dyDescent="0.25">
      <c r="A894" s="15"/>
    </row>
    <row r="895" spans="1:1" ht="12.5" x14ac:dyDescent="0.25">
      <c r="A895" s="15"/>
    </row>
    <row r="896" spans="1:1" ht="12.5" x14ac:dyDescent="0.25">
      <c r="A896" s="15"/>
    </row>
    <row r="897" spans="1:1" ht="12.5" x14ac:dyDescent="0.25">
      <c r="A897" s="15"/>
    </row>
    <row r="898" spans="1:1" ht="12.5" x14ac:dyDescent="0.25">
      <c r="A898" s="15"/>
    </row>
    <row r="899" spans="1:1" ht="12.5" x14ac:dyDescent="0.25">
      <c r="A899" s="15"/>
    </row>
    <row r="900" spans="1:1" ht="12.5" x14ac:dyDescent="0.25">
      <c r="A900" s="15"/>
    </row>
    <row r="901" spans="1:1" ht="12.5" x14ac:dyDescent="0.25">
      <c r="A901" s="15"/>
    </row>
    <row r="902" spans="1:1" ht="12.5" x14ac:dyDescent="0.25">
      <c r="A902" s="15"/>
    </row>
    <row r="903" spans="1:1" ht="12.5" x14ac:dyDescent="0.25">
      <c r="A903" s="15"/>
    </row>
    <row r="904" spans="1:1" ht="12.5" x14ac:dyDescent="0.25">
      <c r="A904" s="15"/>
    </row>
    <row r="905" spans="1:1" ht="12.5" x14ac:dyDescent="0.25">
      <c r="A905" s="15"/>
    </row>
    <row r="906" spans="1:1" ht="12.5" x14ac:dyDescent="0.25">
      <c r="A906" s="15"/>
    </row>
    <row r="907" spans="1:1" ht="12.5" x14ac:dyDescent="0.25">
      <c r="A907" s="15"/>
    </row>
    <row r="908" spans="1:1" ht="12.5" x14ac:dyDescent="0.25">
      <c r="A908" s="15"/>
    </row>
    <row r="909" spans="1:1" ht="12.5" x14ac:dyDescent="0.25">
      <c r="A909" s="15"/>
    </row>
    <row r="910" spans="1:1" ht="12.5" x14ac:dyDescent="0.25">
      <c r="A910" s="15"/>
    </row>
    <row r="911" spans="1:1" ht="12.5" x14ac:dyDescent="0.25">
      <c r="A911" s="15"/>
    </row>
    <row r="912" spans="1:1" ht="12.5" x14ac:dyDescent="0.25">
      <c r="A912" s="15"/>
    </row>
    <row r="913" spans="1:1" ht="12.5" x14ac:dyDescent="0.25">
      <c r="A913" s="15"/>
    </row>
    <row r="914" spans="1:1" ht="12.5" x14ac:dyDescent="0.25">
      <c r="A914" s="15"/>
    </row>
    <row r="915" spans="1:1" ht="12.5" x14ac:dyDescent="0.25">
      <c r="A915" s="15"/>
    </row>
    <row r="916" spans="1:1" ht="12.5" x14ac:dyDescent="0.25">
      <c r="A916" s="15"/>
    </row>
    <row r="917" spans="1:1" ht="12.5" x14ac:dyDescent="0.25">
      <c r="A917" s="15"/>
    </row>
    <row r="918" spans="1:1" ht="12.5" x14ac:dyDescent="0.25">
      <c r="A918" s="15"/>
    </row>
    <row r="919" spans="1:1" ht="12.5" x14ac:dyDescent="0.25">
      <c r="A919" s="15"/>
    </row>
    <row r="920" spans="1:1" ht="12.5" x14ac:dyDescent="0.25">
      <c r="A920" s="15"/>
    </row>
    <row r="921" spans="1:1" ht="12.5" x14ac:dyDescent="0.25">
      <c r="A921" s="15"/>
    </row>
    <row r="922" spans="1:1" ht="12.5" x14ac:dyDescent="0.25">
      <c r="A922" s="15"/>
    </row>
    <row r="923" spans="1:1" ht="12.5" x14ac:dyDescent="0.25">
      <c r="A923" s="15"/>
    </row>
    <row r="924" spans="1:1" ht="12.5" x14ac:dyDescent="0.25">
      <c r="A924" s="15"/>
    </row>
    <row r="925" spans="1:1" ht="12.5" x14ac:dyDescent="0.25">
      <c r="A925" s="15"/>
    </row>
    <row r="926" spans="1:1" ht="12.5" x14ac:dyDescent="0.25">
      <c r="A926" s="15"/>
    </row>
    <row r="927" spans="1:1" ht="12.5" x14ac:dyDescent="0.25">
      <c r="A927" s="15"/>
    </row>
    <row r="928" spans="1:1" ht="12.5" x14ac:dyDescent="0.25">
      <c r="A928" s="15"/>
    </row>
    <row r="929" spans="1:1" ht="12.5" x14ac:dyDescent="0.25">
      <c r="A929" s="15"/>
    </row>
    <row r="930" spans="1:1" ht="12.5" x14ac:dyDescent="0.25">
      <c r="A930" s="15"/>
    </row>
    <row r="931" spans="1:1" ht="12.5" x14ac:dyDescent="0.25">
      <c r="A931" s="15"/>
    </row>
    <row r="932" spans="1:1" ht="12.5" x14ac:dyDescent="0.25">
      <c r="A932" s="15"/>
    </row>
    <row r="933" spans="1:1" ht="12.5" x14ac:dyDescent="0.25">
      <c r="A933" s="15"/>
    </row>
    <row r="934" spans="1:1" ht="12.5" x14ac:dyDescent="0.25">
      <c r="A934" s="15"/>
    </row>
    <row r="935" spans="1:1" ht="12.5" x14ac:dyDescent="0.25">
      <c r="A935" s="15"/>
    </row>
    <row r="936" spans="1:1" ht="12.5" x14ac:dyDescent="0.25">
      <c r="A936" s="15"/>
    </row>
    <row r="937" spans="1:1" ht="12.5" x14ac:dyDescent="0.25">
      <c r="A937" s="15"/>
    </row>
    <row r="938" spans="1:1" ht="12.5" x14ac:dyDescent="0.25">
      <c r="A938" s="15"/>
    </row>
    <row r="939" spans="1:1" ht="12.5" x14ac:dyDescent="0.25">
      <c r="A939" s="15"/>
    </row>
    <row r="940" spans="1:1" ht="12.5" x14ac:dyDescent="0.25">
      <c r="A940" s="15"/>
    </row>
    <row r="941" spans="1:1" ht="12.5" x14ac:dyDescent="0.25">
      <c r="A941" s="15"/>
    </row>
    <row r="942" spans="1:1" ht="12.5" x14ac:dyDescent="0.25">
      <c r="A942" s="15"/>
    </row>
    <row r="943" spans="1:1" ht="12.5" x14ac:dyDescent="0.25">
      <c r="A943" s="15"/>
    </row>
    <row r="944" spans="1:1" ht="12.5" x14ac:dyDescent="0.25">
      <c r="A944" s="15"/>
    </row>
    <row r="945" spans="1:1" ht="12.5" x14ac:dyDescent="0.25">
      <c r="A945" s="15"/>
    </row>
    <row r="946" spans="1:1" ht="12.5" x14ac:dyDescent="0.25">
      <c r="A946" s="15"/>
    </row>
    <row r="947" spans="1:1" ht="12.5" x14ac:dyDescent="0.25">
      <c r="A947" s="15"/>
    </row>
    <row r="948" spans="1:1" ht="12.5" x14ac:dyDescent="0.25">
      <c r="A948" s="15"/>
    </row>
    <row r="949" spans="1:1" ht="12.5" x14ac:dyDescent="0.25">
      <c r="A949" s="15"/>
    </row>
    <row r="950" spans="1:1" ht="12.5" x14ac:dyDescent="0.25">
      <c r="A950" s="15"/>
    </row>
    <row r="951" spans="1:1" ht="12.5" x14ac:dyDescent="0.25">
      <c r="A951" s="15"/>
    </row>
    <row r="952" spans="1:1" ht="12.5" x14ac:dyDescent="0.25">
      <c r="A952" s="15"/>
    </row>
    <row r="953" spans="1:1" ht="12.5" x14ac:dyDescent="0.25">
      <c r="A953" s="15"/>
    </row>
    <row r="954" spans="1:1" ht="12.5" x14ac:dyDescent="0.25">
      <c r="A954" s="15"/>
    </row>
    <row r="955" spans="1:1" ht="12.5" x14ac:dyDescent="0.25">
      <c r="A955" s="15"/>
    </row>
    <row r="956" spans="1:1" ht="12.5" x14ac:dyDescent="0.25">
      <c r="A956" s="15"/>
    </row>
    <row r="957" spans="1:1" ht="12.5" x14ac:dyDescent="0.25">
      <c r="A957" s="15"/>
    </row>
    <row r="958" spans="1:1" ht="12.5" x14ac:dyDescent="0.25">
      <c r="A958" s="15"/>
    </row>
    <row r="959" spans="1:1" ht="12.5" x14ac:dyDescent="0.25">
      <c r="A959" s="15"/>
    </row>
    <row r="960" spans="1:1" ht="12.5" x14ac:dyDescent="0.25">
      <c r="A960" s="15"/>
    </row>
    <row r="961" spans="1:1" ht="12.5" x14ac:dyDescent="0.25">
      <c r="A961" s="15"/>
    </row>
    <row r="962" spans="1:1" ht="12.5" x14ac:dyDescent="0.25">
      <c r="A962" s="15"/>
    </row>
    <row r="963" spans="1:1" ht="12.5" x14ac:dyDescent="0.25">
      <c r="A963" s="15"/>
    </row>
    <row r="964" spans="1:1" ht="12.5" x14ac:dyDescent="0.25">
      <c r="A964" s="15"/>
    </row>
    <row r="965" spans="1:1" ht="12.5" x14ac:dyDescent="0.25">
      <c r="A965" s="15"/>
    </row>
    <row r="966" spans="1:1" ht="12.5" x14ac:dyDescent="0.25">
      <c r="A966" s="15"/>
    </row>
    <row r="967" spans="1:1" ht="12.5" x14ac:dyDescent="0.25">
      <c r="A967" s="15"/>
    </row>
    <row r="968" spans="1:1" ht="12.5" x14ac:dyDescent="0.25">
      <c r="A968" s="15"/>
    </row>
    <row r="969" spans="1:1" ht="12.5" x14ac:dyDescent="0.25">
      <c r="A969" s="15"/>
    </row>
    <row r="970" spans="1:1" ht="12.5" x14ac:dyDescent="0.25">
      <c r="A970" s="15"/>
    </row>
    <row r="971" spans="1:1" ht="12.5" x14ac:dyDescent="0.25">
      <c r="A971" s="15"/>
    </row>
    <row r="972" spans="1:1" ht="12.5" x14ac:dyDescent="0.25">
      <c r="A972" s="15"/>
    </row>
    <row r="973" spans="1:1" ht="12.5" x14ac:dyDescent="0.25">
      <c r="A973" s="15"/>
    </row>
    <row r="974" spans="1:1" ht="12.5" x14ac:dyDescent="0.25">
      <c r="A974" s="15"/>
    </row>
    <row r="975" spans="1:1" ht="12.5" x14ac:dyDescent="0.25">
      <c r="A975" s="15"/>
    </row>
    <row r="976" spans="1:1" ht="12.5" x14ac:dyDescent="0.25">
      <c r="A976" s="15"/>
    </row>
    <row r="977" spans="1:1" ht="12.5" x14ac:dyDescent="0.25">
      <c r="A977" s="15"/>
    </row>
    <row r="978" spans="1:1" ht="12.5" x14ac:dyDescent="0.25">
      <c r="A978" s="15"/>
    </row>
  </sheetData>
  <mergeCells count="11">
    <mergeCell ref="Q1:Q3"/>
    <mergeCell ref="A1:A3"/>
    <mergeCell ref="I1:K2"/>
    <mergeCell ref="R111:R124"/>
    <mergeCell ref="L1:N2"/>
    <mergeCell ref="O1:O3"/>
    <mergeCell ref="P1:P3"/>
    <mergeCell ref="R8:R11"/>
    <mergeCell ref="B1:B3"/>
    <mergeCell ref="C1:E2"/>
    <mergeCell ref="F1:H2"/>
  </mergeCells>
  <phoneticPr fontId="17" type="noConversion"/>
  <printOptions horizontalCentered="1" gridLines="1"/>
  <pageMargins left="0.7" right="0.7" top="0.75" bottom="0.75" header="0" footer="0"/>
  <pageSetup scale="56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571F-BBDF-40BD-A5B2-700720A8D1CE}">
  <dimension ref="A1:B130"/>
  <sheetViews>
    <sheetView workbookViewId="0">
      <selection activeCell="S27" sqref="S27"/>
    </sheetView>
  </sheetViews>
  <sheetFormatPr defaultRowHeight="12.5" x14ac:dyDescent="0.25"/>
  <sheetData>
    <row r="1" spans="1:2" x14ac:dyDescent="0.25">
      <c r="A1" s="14">
        <v>3.42</v>
      </c>
      <c r="B1" s="5">
        <v>168.6</v>
      </c>
    </row>
    <row r="2" spans="1:2" x14ac:dyDescent="0.25">
      <c r="A2" s="22">
        <v>3</v>
      </c>
      <c r="B2" s="18">
        <v>242.4</v>
      </c>
    </row>
    <row r="3" spans="1:2" x14ac:dyDescent="0.25">
      <c r="A3" s="14">
        <v>2.5299999999999998</v>
      </c>
      <c r="B3" s="5">
        <v>229</v>
      </c>
    </row>
    <row r="4" spans="1:2" x14ac:dyDescent="0.25">
      <c r="A4" s="14">
        <v>3.25</v>
      </c>
      <c r="B4" s="18">
        <v>161.30000000000001</v>
      </c>
    </row>
    <row r="5" spans="1:2" x14ac:dyDescent="0.25">
      <c r="A5" s="9">
        <v>1.06</v>
      </c>
      <c r="B5" s="56"/>
    </row>
    <row r="6" spans="1:2" x14ac:dyDescent="0.25">
      <c r="A6" s="9">
        <v>1.06</v>
      </c>
      <c r="B6" s="18"/>
    </row>
    <row r="7" spans="1:2" x14ac:dyDescent="0.25">
      <c r="A7" s="9">
        <v>1.06</v>
      </c>
      <c r="B7" s="18"/>
    </row>
    <row r="8" spans="1:2" x14ac:dyDescent="0.25">
      <c r="A8" s="9">
        <v>1.17</v>
      </c>
      <c r="B8" s="18"/>
    </row>
    <row r="9" spans="1:2" x14ac:dyDescent="0.25">
      <c r="A9" s="9">
        <v>1.05</v>
      </c>
      <c r="B9" s="18">
        <v>97</v>
      </c>
    </row>
    <row r="10" spans="1:2" x14ac:dyDescent="0.25">
      <c r="A10" s="9">
        <v>1.8129999999999999</v>
      </c>
      <c r="B10" s="18">
        <v>110.4</v>
      </c>
    </row>
    <row r="11" spans="1:2" x14ac:dyDescent="0.25">
      <c r="A11" s="9">
        <v>1.5329999999999999</v>
      </c>
      <c r="B11" s="5">
        <v>57.9</v>
      </c>
    </row>
    <row r="12" spans="1:2" x14ac:dyDescent="0.25">
      <c r="A12" s="9">
        <v>1.601</v>
      </c>
      <c r="B12" s="5">
        <v>103</v>
      </c>
    </row>
    <row r="13" spans="1:2" x14ac:dyDescent="0.25">
      <c r="A13" s="9">
        <v>1.5409999999999999</v>
      </c>
      <c r="B13" s="5">
        <v>105</v>
      </c>
    </row>
    <row r="14" spans="1:2" x14ac:dyDescent="0.25">
      <c r="A14" s="9">
        <v>0.34</v>
      </c>
      <c r="B14" s="18">
        <v>56.918999999999997</v>
      </c>
    </row>
    <row r="15" spans="1:2" x14ac:dyDescent="0.25">
      <c r="A15" s="9">
        <v>0.41</v>
      </c>
      <c r="B15" s="18">
        <v>101.84</v>
      </c>
    </row>
    <row r="16" spans="1:2" x14ac:dyDescent="0.25">
      <c r="A16" s="9">
        <v>0.48</v>
      </c>
      <c r="B16" s="18">
        <v>150.18</v>
      </c>
    </row>
    <row r="17" spans="1:2" x14ac:dyDescent="0.25">
      <c r="A17" s="9">
        <v>0.59</v>
      </c>
      <c r="B17" s="18">
        <v>28.97</v>
      </c>
    </row>
    <row r="18" spans="1:2" x14ac:dyDescent="0.25">
      <c r="A18" s="9">
        <v>2.2999999999999998</v>
      </c>
      <c r="B18" s="18"/>
    </row>
    <row r="19" spans="1:2" x14ac:dyDescent="0.25">
      <c r="A19" s="9">
        <v>2.15</v>
      </c>
      <c r="B19" s="18"/>
    </row>
    <row r="20" spans="1:2" x14ac:dyDescent="0.25">
      <c r="A20" s="9">
        <v>2.02</v>
      </c>
      <c r="B20" s="18"/>
    </row>
    <row r="21" spans="1:2" x14ac:dyDescent="0.25">
      <c r="A21" s="9">
        <v>1.73</v>
      </c>
      <c r="B21" s="18"/>
    </row>
    <row r="22" spans="1:2" x14ac:dyDescent="0.25">
      <c r="A22" s="9">
        <v>1.69</v>
      </c>
      <c r="B22" s="18"/>
    </row>
    <row r="23" spans="1:2" x14ac:dyDescent="0.25">
      <c r="A23" s="9">
        <v>2.42</v>
      </c>
      <c r="B23" s="18"/>
    </row>
    <row r="24" spans="1:2" x14ac:dyDescent="0.25">
      <c r="A24" s="9">
        <v>1.89</v>
      </c>
      <c r="B24" s="18"/>
    </row>
    <row r="25" spans="1:2" x14ac:dyDescent="0.25">
      <c r="A25" s="9">
        <v>1.79</v>
      </c>
      <c r="B25" s="18"/>
    </row>
    <row r="26" spans="1:2" x14ac:dyDescent="0.25">
      <c r="A26" s="9">
        <v>1.71</v>
      </c>
      <c r="B26" s="18"/>
    </row>
    <row r="27" spans="1:2" x14ac:dyDescent="0.25">
      <c r="A27" s="9">
        <v>1.58</v>
      </c>
      <c r="B27" s="18"/>
    </row>
    <row r="28" spans="1:2" x14ac:dyDescent="0.25">
      <c r="A28" s="9">
        <v>1.82</v>
      </c>
      <c r="B28" s="18"/>
    </row>
    <row r="29" spans="1:2" x14ac:dyDescent="0.25">
      <c r="A29" s="9">
        <v>1.86</v>
      </c>
      <c r="B29" s="18"/>
    </row>
    <row r="30" spans="1:2" x14ac:dyDescent="0.25">
      <c r="A30" s="9">
        <v>1.78</v>
      </c>
      <c r="B30" s="18"/>
    </row>
    <row r="31" spans="1:2" x14ac:dyDescent="0.25">
      <c r="A31" s="9">
        <v>2.4500000000000002</v>
      </c>
      <c r="B31" s="5">
        <v>83.9</v>
      </c>
    </row>
    <row r="32" spans="1:2" x14ac:dyDescent="0.25">
      <c r="A32" s="9">
        <v>2.0299999999999998</v>
      </c>
      <c r="B32" s="5">
        <v>75.7</v>
      </c>
    </row>
    <row r="33" spans="1:2" x14ac:dyDescent="0.25">
      <c r="A33" s="9">
        <v>1.79</v>
      </c>
      <c r="B33" s="5">
        <v>35.799999999999997</v>
      </c>
    </row>
    <row r="34" spans="1:2" x14ac:dyDescent="0.25">
      <c r="A34" s="14">
        <v>0.81</v>
      </c>
      <c r="B34" s="18"/>
    </row>
    <row r="35" spans="1:2" x14ac:dyDescent="0.25">
      <c r="A35" s="14">
        <v>0.9</v>
      </c>
      <c r="B35" s="18"/>
    </row>
    <row r="36" spans="1:2" x14ac:dyDescent="0.25">
      <c r="A36" s="14">
        <v>0.91</v>
      </c>
      <c r="B36" s="18"/>
    </row>
    <row r="37" spans="1:2" x14ac:dyDescent="0.25">
      <c r="A37" s="13">
        <v>0.88</v>
      </c>
      <c r="B37" s="18"/>
    </row>
    <row r="38" spans="1:2" x14ac:dyDescent="0.25">
      <c r="A38" s="9">
        <v>0.83</v>
      </c>
      <c r="B38" s="18"/>
    </row>
    <row r="39" spans="1:2" x14ac:dyDescent="0.25">
      <c r="A39" s="9">
        <v>3.53</v>
      </c>
      <c r="B39" s="36">
        <v>184</v>
      </c>
    </row>
    <row r="40" spans="1:2" x14ac:dyDescent="0.25">
      <c r="A40" s="9">
        <v>3.12</v>
      </c>
      <c r="B40" s="18">
        <v>299.39999999999998</v>
      </c>
    </row>
    <row r="41" spans="1:2" x14ac:dyDescent="0.25">
      <c r="A41" s="9">
        <v>2.67</v>
      </c>
      <c r="B41" s="36">
        <v>237</v>
      </c>
    </row>
    <row r="42" spans="1:2" x14ac:dyDescent="0.25">
      <c r="A42" s="13">
        <v>2.52</v>
      </c>
      <c r="B42" s="36">
        <v>246</v>
      </c>
    </row>
    <row r="43" spans="1:2" x14ac:dyDescent="0.25">
      <c r="A43" s="9">
        <v>0.78</v>
      </c>
      <c r="B43" s="36">
        <v>161</v>
      </c>
    </row>
    <row r="44" spans="1:2" x14ac:dyDescent="0.25">
      <c r="A44" s="9">
        <v>0.91</v>
      </c>
      <c r="B44" s="36">
        <v>141</v>
      </c>
    </row>
    <row r="45" spans="1:2" x14ac:dyDescent="0.25">
      <c r="A45" s="9">
        <v>0.93</v>
      </c>
      <c r="B45" s="36">
        <v>83</v>
      </c>
    </row>
    <row r="46" spans="1:2" x14ac:dyDescent="0.25">
      <c r="A46" s="9">
        <v>0.79</v>
      </c>
      <c r="B46" s="36">
        <v>181</v>
      </c>
    </row>
    <row r="47" spans="1:2" x14ac:dyDescent="0.25">
      <c r="A47" s="9">
        <v>0.92</v>
      </c>
      <c r="B47" s="36">
        <v>156</v>
      </c>
    </row>
    <row r="48" spans="1:2" x14ac:dyDescent="0.25">
      <c r="A48" s="9">
        <v>0.94</v>
      </c>
      <c r="B48" s="36">
        <v>107</v>
      </c>
    </row>
    <row r="49" spans="1:2" x14ac:dyDescent="0.25">
      <c r="A49" s="14">
        <v>0.65900000000000003</v>
      </c>
      <c r="B49" s="36">
        <v>154</v>
      </c>
    </row>
    <row r="50" spans="1:2" x14ac:dyDescent="0.25">
      <c r="A50" s="14">
        <v>0.71599999999999997</v>
      </c>
      <c r="B50" s="36">
        <v>172</v>
      </c>
    </row>
    <row r="51" spans="1:2" x14ac:dyDescent="0.25">
      <c r="A51" s="14">
        <v>0.749</v>
      </c>
      <c r="B51" s="36">
        <v>139</v>
      </c>
    </row>
    <row r="52" spans="1:2" x14ac:dyDescent="0.25">
      <c r="A52" s="14">
        <v>0.54</v>
      </c>
      <c r="B52" s="7">
        <v>46</v>
      </c>
    </row>
    <row r="53" spans="1:2" x14ac:dyDescent="0.25">
      <c r="A53" s="14">
        <v>0.61</v>
      </c>
      <c r="B53" s="7">
        <v>92</v>
      </c>
    </row>
    <row r="54" spans="1:2" x14ac:dyDescent="0.25">
      <c r="A54" s="14">
        <v>0.66</v>
      </c>
      <c r="B54" s="7">
        <v>84</v>
      </c>
    </row>
    <row r="55" spans="1:2" x14ac:dyDescent="0.25">
      <c r="A55" s="14">
        <v>0.72</v>
      </c>
      <c r="B55" s="7">
        <v>40</v>
      </c>
    </row>
    <row r="56" spans="1:2" x14ac:dyDescent="0.25">
      <c r="A56" s="58">
        <v>2.4213075060532687</v>
      </c>
      <c r="B56" s="18"/>
    </row>
    <row r="57" spans="1:2" x14ac:dyDescent="0.25">
      <c r="A57" s="58">
        <v>2.4875621890547261</v>
      </c>
      <c r="B57" s="18"/>
    </row>
    <row r="58" spans="1:2" x14ac:dyDescent="0.25">
      <c r="A58" s="58">
        <v>2.5062656641604009</v>
      </c>
      <c r="B58" s="18"/>
    </row>
    <row r="59" spans="1:2" x14ac:dyDescent="0.25">
      <c r="A59" s="58">
        <v>2.5125628140703515</v>
      </c>
      <c r="B59" s="18"/>
    </row>
    <row r="60" spans="1:2" x14ac:dyDescent="0.25">
      <c r="A60" s="14">
        <v>1.02</v>
      </c>
      <c r="B60" s="18">
        <v>91.9</v>
      </c>
    </row>
    <row r="61" spans="1:2" x14ac:dyDescent="0.25">
      <c r="A61" s="14">
        <v>0.91</v>
      </c>
      <c r="B61" s="36">
        <v>77</v>
      </c>
    </row>
    <row r="62" spans="1:2" x14ac:dyDescent="0.25">
      <c r="A62" s="14">
        <v>0.98</v>
      </c>
      <c r="B62" s="36">
        <v>100</v>
      </c>
    </row>
    <row r="63" spans="1:2" x14ac:dyDescent="0.25">
      <c r="A63" s="14">
        <v>0.6</v>
      </c>
      <c r="B63" s="36">
        <v>101</v>
      </c>
    </row>
    <row r="64" spans="1:2" x14ac:dyDescent="0.25">
      <c r="A64" s="14">
        <v>0.62</v>
      </c>
      <c r="B64" s="36">
        <v>86</v>
      </c>
    </row>
    <row r="65" spans="1:2" x14ac:dyDescent="0.25">
      <c r="A65" s="14">
        <v>0.66</v>
      </c>
      <c r="B65" s="36">
        <v>86</v>
      </c>
    </row>
    <row r="66" spans="1:2" x14ac:dyDescent="0.25">
      <c r="A66" s="14">
        <v>0.89</v>
      </c>
      <c r="B66" s="36">
        <v>77</v>
      </c>
    </row>
    <row r="67" spans="1:2" x14ac:dyDescent="0.25">
      <c r="A67" s="14">
        <v>0.92</v>
      </c>
      <c r="B67" s="36">
        <v>55</v>
      </c>
    </row>
    <row r="68" spans="1:2" x14ac:dyDescent="0.25">
      <c r="A68" s="14"/>
      <c r="B68" s="18"/>
    </row>
    <row r="69" spans="1:2" x14ac:dyDescent="0.25">
      <c r="A69" s="14"/>
      <c r="B69" s="18"/>
    </row>
    <row r="70" spans="1:2" x14ac:dyDescent="0.25">
      <c r="A70" s="14"/>
      <c r="B70" s="18"/>
    </row>
    <row r="71" spans="1:2" x14ac:dyDescent="0.25">
      <c r="A71" s="14">
        <v>0.67300000000000004</v>
      </c>
      <c r="B71" s="36">
        <v>82</v>
      </c>
    </row>
    <row r="72" spans="1:2" x14ac:dyDescent="0.25">
      <c r="A72" s="14">
        <v>0.69899999999999995</v>
      </c>
      <c r="B72" s="36">
        <v>75</v>
      </c>
    </row>
    <row r="73" spans="1:2" x14ac:dyDescent="0.25">
      <c r="A73" s="14">
        <v>0.748</v>
      </c>
      <c r="B73" s="36">
        <v>96</v>
      </c>
    </row>
    <row r="74" spans="1:2" x14ac:dyDescent="0.25">
      <c r="A74" s="14">
        <v>0.78700000000000003</v>
      </c>
      <c r="B74" s="36">
        <v>57</v>
      </c>
    </row>
    <row r="75" spans="1:2" x14ac:dyDescent="0.25">
      <c r="A75" s="14">
        <v>0.85699999999999998</v>
      </c>
      <c r="B75" s="36">
        <v>53</v>
      </c>
    </row>
    <row r="76" spans="1:2" x14ac:dyDescent="0.25">
      <c r="A76" s="14">
        <v>2.66</v>
      </c>
      <c r="B76" s="18"/>
    </row>
    <row r="77" spans="1:2" x14ac:dyDescent="0.25">
      <c r="A77" s="14">
        <v>2.4700000000000002</v>
      </c>
      <c r="B77" s="18"/>
    </row>
    <row r="78" spans="1:2" x14ac:dyDescent="0.25">
      <c r="A78" s="14">
        <v>2.23</v>
      </c>
      <c r="B78" s="18"/>
    </row>
    <row r="79" spans="1:2" x14ac:dyDescent="0.25">
      <c r="A79" s="14">
        <v>2.06</v>
      </c>
      <c r="B79" s="18"/>
    </row>
    <row r="80" spans="1:2" x14ac:dyDescent="0.25">
      <c r="A80" s="14">
        <v>1.77</v>
      </c>
      <c r="B80" s="18"/>
    </row>
    <row r="81" spans="1:2" x14ac:dyDescent="0.25">
      <c r="A81" s="14">
        <v>1.78</v>
      </c>
      <c r="B81" s="18"/>
    </row>
    <row r="82" spans="1:2" x14ac:dyDescent="0.25">
      <c r="A82" s="14">
        <v>1.77</v>
      </c>
      <c r="B82" s="18"/>
    </row>
    <row r="83" spans="1:2" x14ac:dyDescent="0.25">
      <c r="A83" s="14">
        <v>1.76</v>
      </c>
      <c r="B83" s="18"/>
    </row>
    <row r="84" spans="1:2" x14ac:dyDescent="0.25">
      <c r="A84" s="14">
        <v>2.74</v>
      </c>
      <c r="B84" s="62">
        <v>112</v>
      </c>
    </row>
    <row r="85" spans="1:2" x14ac:dyDescent="0.25">
      <c r="A85" s="14">
        <v>1.36</v>
      </c>
      <c r="B85" s="36">
        <v>154</v>
      </c>
    </row>
    <row r="86" spans="1:2" x14ac:dyDescent="0.25">
      <c r="A86" s="14">
        <v>1.35</v>
      </c>
      <c r="B86" s="18">
        <v>183.4</v>
      </c>
    </row>
    <row r="87" spans="1:2" x14ac:dyDescent="0.25">
      <c r="A87" s="14">
        <v>1.33</v>
      </c>
      <c r="B87" s="36">
        <v>165</v>
      </c>
    </row>
    <row r="88" spans="1:2" x14ac:dyDescent="0.25">
      <c r="A88" s="14">
        <v>1.17</v>
      </c>
      <c r="B88" s="36">
        <v>179</v>
      </c>
    </row>
    <row r="89" spans="1:2" x14ac:dyDescent="0.25">
      <c r="A89" s="14">
        <v>1.87</v>
      </c>
      <c r="B89" s="36">
        <v>102</v>
      </c>
    </row>
    <row r="90" spans="1:2" x14ac:dyDescent="0.25">
      <c r="A90" s="14">
        <v>1.82</v>
      </c>
      <c r="B90" s="36">
        <v>134</v>
      </c>
    </row>
    <row r="91" spans="1:2" x14ac:dyDescent="0.25">
      <c r="A91" s="14">
        <v>1.69</v>
      </c>
      <c r="B91" s="18">
        <v>149.5</v>
      </c>
    </row>
    <row r="92" spans="1:2" x14ac:dyDescent="0.25">
      <c r="A92" s="14">
        <v>1.65</v>
      </c>
      <c r="B92" s="36">
        <v>75</v>
      </c>
    </row>
    <row r="93" spans="1:2" x14ac:dyDescent="0.25">
      <c r="A93" s="14">
        <v>1.05</v>
      </c>
      <c r="B93" s="18">
        <v>192</v>
      </c>
    </row>
    <row r="94" spans="1:2" x14ac:dyDescent="0.25">
      <c r="B94" s="18"/>
    </row>
    <row r="95" spans="1:2" x14ac:dyDescent="0.25">
      <c r="B95" s="18"/>
    </row>
    <row r="96" spans="1:2" x14ac:dyDescent="0.25">
      <c r="B96" s="18"/>
    </row>
    <row r="97" spans="1:2" x14ac:dyDescent="0.25">
      <c r="B97" s="18"/>
    </row>
    <row r="98" spans="1:2" x14ac:dyDescent="0.25">
      <c r="A98">
        <v>0.97</v>
      </c>
      <c r="B98" s="18"/>
    </row>
    <row r="99" spans="1:2" x14ac:dyDescent="0.25">
      <c r="A99">
        <v>0.96</v>
      </c>
      <c r="B99" s="36">
        <v>104</v>
      </c>
    </row>
    <row r="100" spans="1:2" x14ac:dyDescent="0.25">
      <c r="A100">
        <v>0.88</v>
      </c>
      <c r="B100" s="18"/>
    </row>
    <row r="101" spans="1:2" x14ac:dyDescent="0.25">
      <c r="A101" s="10">
        <v>1.03</v>
      </c>
      <c r="B101" s="18"/>
    </row>
    <row r="102" spans="1:2" x14ac:dyDescent="0.25">
      <c r="A102" s="10">
        <v>1.05</v>
      </c>
      <c r="B102" s="18"/>
    </row>
    <row r="103" spans="1:2" x14ac:dyDescent="0.25">
      <c r="A103">
        <v>1.1599999999999999</v>
      </c>
      <c r="B103" s="18"/>
    </row>
    <row r="104" spans="1:2" x14ac:dyDescent="0.25">
      <c r="A104" s="10">
        <v>1.19</v>
      </c>
      <c r="B104" s="18"/>
    </row>
    <row r="105" spans="1:2" x14ac:dyDescent="0.25">
      <c r="A105" s="10">
        <v>1.27</v>
      </c>
      <c r="B105" s="18"/>
    </row>
    <row r="106" spans="1:2" x14ac:dyDescent="0.25">
      <c r="A106" s="10">
        <v>1.57</v>
      </c>
      <c r="B106" s="18"/>
    </row>
    <row r="107" spans="1:2" x14ac:dyDescent="0.25">
      <c r="A107">
        <v>1.66</v>
      </c>
      <c r="B107" s="18"/>
    </row>
    <row r="108" spans="1:2" x14ac:dyDescent="0.25">
      <c r="A108" s="14">
        <v>2.57</v>
      </c>
      <c r="B108" s="36">
        <v>182</v>
      </c>
    </row>
    <row r="109" spans="1:2" x14ac:dyDescent="0.25">
      <c r="A109" s="14">
        <v>2.84</v>
      </c>
      <c r="B109" s="36">
        <v>283</v>
      </c>
    </row>
    <row r="110" spans="1:2" x14ac:dyDescent="0.25">
      <c r="A110" s="14">
        <v>2.86</v>
      </c>
      <c r="B110" s="36">
        <v>287</v>
      </c>
    </row>
    <row r="111" spans="1:2" x14ac:dyDescent="0.25">
      <c r="A111" s="14">
        <v>2.39</v>
      </c>
      <c r="B111" s="36">
        <v>235</v>
      </c>
    </row>
    <row r="112" spans="1:2" x14ac:dyDescent="0.25">
      <c r="A112" s="14">
        <v>2.61</v>
      </c>
      <c r="B112" s="36">
        <v>167</v>
      </c>
    </row>
    <row r="113" spans="1:2" x14ac:dyDescent="0.25">
      <c r="A113" s="14">
        <v>2.57</v>
      </c>
      <c r="B113" s="36">
        <v>182</v>
      </c>
    </row>
    <row r="114" spans="1:2" x14ac:dyDescent="0.25">
      <c r="A114" s="22">
        <v>2.7</v>
      </c>
      <c r="B114" s="36">
        <v>239</v>
      </c>
    </row>
    <row r="115" spans="1:2" x14ac:dyDescent="0.25">
      <c r="A115" s="14">
        <v>2.92</v>
      </c>
      <c r="B115" s="36">
        <v>279</v>
      </c>
    </row>
    <row r="116" spans="1:2" x14ac:dyDescent="0.25">
      <c r="A116">
        <v>2.83</v>
      </c>
      <c r="B116" s="36">
        <v>277</v>
      </c>
    </row>
    <row r="117" spans="1:2" x14ac:dyDescent="0.25">
      <c r="A117" s="14">
        <v>2.62</v>
      </c>
      <c r="B117" s="36">
        <v>75</v>
      </c>
    </row>
    <row r="118" spans="1:2" x14ac:dyDescent="0.25">
      <c r="A118">
        <v>2.67</v>
      </c>
      <c r="B118" s="36">
        <v>296</v>
      </c>
    </row>
    <row r="119" spans="1:2" x14ac:dyDescent="0.25">
      <c r="A119" s="16">
        <v>2.7</v>
      </c>
      <c r="B119" s="36">
        <v>268</v>
      </c>
    </row>
    <row r="120" spans="1:2" x14ac:dyDescent="0.25">
      <c r="A120">
        <v>2.16</v>
      </c>
      <c r="B120" s="36">
        <v>195</v>
      </c>
    </row>
    <row r="121" spans="1:2" x14ac:dyDescent="0.25">
      <c r="A121">
        <v>2.29</v>
      </c>
      <c r="B121" s="36">
        <v>161</v>
      </c>
    </row>
    <row r="122" spans="1:2" x14ac:dyDescent="0.25">
      <c r="B122" s="5">
        <v>117</v>
      </c>
    </row>
    <row r="123" spans="1:2" x14ac:dyDescent="0.25">
      <c r="B123" s="5">
        <v>111</v>
      </c>
    </row>
    <row r="124" spans="1:2" x14ac:dyDescent="0.25">
      <c r="B124" s="5">
        <v>94</v>
      </c>
    </row>
    <row r="125" spans="1:2" x14ac:dyDescent="0.25">
      <c r="B125" s="5">
        <v>76</v>
      </c>
    </row>
    <row r="126" spans="1:2" x14ac:dyDescent="0.25">
      <c r="A126" s="14">
        <v>1.45</v>
      </c>
      <c r="B126" s="62">
        <v>192</v>
      </c>
    </row>
    <row r="127" spans="1:2" x14ac:dyDescent="0.25">
      <c r="B127" s="62">
        <v>102</v>
      </c>
    </row>
    <row r="128" spans="1:2" x14ac:dyDescent="0.25">
      <c r="A128" s="14">
        <v>1.1000000000000001</v>
      </c>
      <c r="B128" s="36">
        <v>119</v>
      </c>
    </row>
    <row r="129" spans="1:2" x14ac:dyDescent="0.25">
      <c r="A129" s="14">
        <v>1.23</v>
      </c>
      <c r="B129" s="36">
        <v>252</v>
      </c>
    </row>
    <row r="130" spans="1:2" x14ac:dyDescent="0.25">
      <c r="A130" s="14">
        <v>1.37</v>
      </c>
      <c r="B130" s="5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SIB DATA</vt:lpstr>
      <vt:lpstr>Rate Tests</vt:lpstr>
      <vt:lpstr>Raman Deconv and XRD 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Bryce Wilson</dc:creator>
  <cp:keywords/>
  <dc:description/>
  <cp:lastModifiedBy>Wilson, Bryce L</cp:lastModifiedBy>
  <cp:revision/>
  <dcterms:created xsi:type="dcterms:W3CDTF">2025-07-23T20:01:00Z</dcterms:created>
  <dcterms:modified xsi:type="dcterms:W3CDTF">2026-05-06T19:29:39Z</dcterms:modified>
  <cp:category/>
  <cp:contentStatus/>
</cp:coreProperties>
</file>